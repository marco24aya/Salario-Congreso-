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nis\Desktop\VSC Codigos\"/>
    </mc:Choice>
  </mc:AlternateContent>
  <xr:revisionPtr revIDLastSave="0" documentId="13_ncr:1_{F8B7AD53-EC45-4BB0-AEB3-5968055E2A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PUTADOS_FINAL" sheetId="1" r:id="rId1"/>
    <sheet name="Hoja2" sheetId="3" r:id="rId2"/>
    <sheet name="Hoja3" sheetId="5" r:id="rId3"/>
    <sheet name="ALTOS CARGO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E18" i="2"/>
  <c r="E21" i="2"/>
  <c r="E2" i="2"/>
  <c r="E3" i="2"/>
  <c r="E12" i="2"/>
  <c r="E5" i="2"/>
  <c r="E7" i="2"/>
  <c r="E10" i="2"/>
  <c r="E11" i="2"/>
  <c r="D8" i="2"/>
  <c r="D25" i="2"/>
  <c r="D15" i="2"/>
  <c r="D23" i="2"/>
  <c r="D22" i="2"/>
  <c r="D16" i="2"/>
  <c r="D4" i="2"/>
  <c r="D14" i="2"/>
  <c r="D24" i="2"/>
  <c r="D20" i="2"/>
  <c r="D13" i="2"/>
  <c r="D9" i="2"/>
  <c r="D6" i="2"/>
  <c r="D19" i="2"/>
  <c r="S159" i="1"/>
  <c r="S230" i="1"/>
  <c r="R249" i="1"/>
  <c r="R366" i="1"/>
  <c r="S57" i="1"/>
  <c r="U17" i="1"/>
</calcChain>
</file>

<file path=xl/sharedStrings.xml><?xml version="1.0" encoding="utf-8"?>
<sst xmlns="http://schemas.openxmlformats.org/spreadsheetml/2006/main" count="9054" uniqueCount="1699">
  <si>
    <t>NOMBRE</t>
  </si>
  <si>
    <t>APELLIDOS</t>
  </si>
  <si>
    <t>ID_DIPUTADOS</t>
  </si>
  <si>
    <t>DIPUTADOS</t>
  </si>
  <si>
    <t>CIRCUNSCRIPCIÓN</t>
  </si>
  <si>
    <t>LEGISLATURA</t>
  </si>
  <si>
    <t>GRUPO_PARLAMENTARIO_INICIAL</t>
  </si>
  <si>
    <t>PARTIDO_POLITICO_ACTUAL</t>
  </si>
  <si>
    <t>GRUPO_PARLAMENTARIO_ACTUAL</t>
  </si>
  <si>
    <t>FECHA_INICIO_LEGISLATURA</t>
  </si>
  <si>
    <t>FECHA_FIN_LEGISLATURA</t>
  </si>
  <si>
    <t>CARGO</t>
  </si>
  <si>
    <t>SALARIO_BRUTO_ANUAL</t>
  </si>
  <si>
    <t>SALARIO_BRUTO_MENSUAL</t>
  </si>
  <si>
    <t>SALARIO_BASE</t>
  </si>
  <si>
    <t>DIETAS</t>
  </si>
  <si>
    <t>SUPLEMENTOS</t>
  </si>
  <si>
    <t>Cristina</t>
  </si>
  <si>
    <t>Abades Martínez</t>
  </si>
  <si>
    <t>DIP_03</t>
  </si>
  <si>
    <t>Abades Martínez, Cristina</t>
  </si>
  <si>
    <t>Lugo</t>
  </si>
  <si>
    <t>Leg. XV</t>
  </si>
  <si>
    <t>Grupo Parlamentario Popular</t>
  </si>
  <si>
    <t>PP</t>
  </si>
  <si>
    <t>-</t>
  </si>
  <si>
    <t>S</t>
  </si>
  <si>
    <t>José Luis</t>
  </si>
  <si>
    <t>Ábalos Meco</t>
  </si>
  <si>
    <t>DIP_04</t>
  </si>
  <si>
    <t>Ábalos Meco, José Luis</t>
  </si>
  <si>
    <t>Valencia</t>
  </si>
  <si>
    <t>Grupo Parlamentario Socialista</t>
  </si>
  <si>
    <t>PSOE</t>
  </si>
  <si>
    <t>Grupo Parlamentario Mixto</t>
  </si>
  <si>
    <t>N</t>
  </si>
  <si>
    <t>Santiago</t>
  </si>
  <si>
    <t>Abascal Conde</t>
  </si>
  <si>
    <t>DIP_05</t>
  </si>
  <si>
    <t>Abascal Conde, Santiago</t>
  </si>
  <si>
    <t>Madrid</t>
  </si>
  <si>
    <t>Grupo Parlamentario VOX</t>
  </si>
  <si>
    <t>VOX</t>
  </si>
  <si>
    <t>Sofía</t>
  </si>
  <si>
    <t>Acedo Reyes</t>
  </si>
  <si>
    <t>DIP_15</t>
  </si>
  <si>
    <t>Acedo Reyes, Sofía</t>
  </si>
  <si>
    <t>Melilla</t>
  </si>
  <si>
    <t>Aceves Galindo</t>
  </si>
  <si>
    <t>DIP_18</t>
  </si>
  <si>
    <t>Aceves Galindo, José Luis</t>
  </si>
  <si>
    <t>Segovia</t>
  </si>
  <si>
    <t>María</t>
  </si>
  <si>
    <t>Adrio Taracido</t>
  </si>
  <si>
    <t>DIP_24</t>
  </si>
  <si>
    <t>Adrio Taracido, María</t>
  </si>
  <si>
    <t>Pontevedra</t>
  </si>
  <si>
    <t>Joseba Andoni</t>
  </si>
  <si>
    <t>Agirretxea Urresti</t>
  </si>
  <si>
    <t>DIP_26</t>
  </si>
  <si>
    <t>Agirretxea Urresti, Joseba Andoni</t>
  </si>
  <si>
    <t>Guipúzcoa</t>
  </si>
  <si>
    <t>Grupo Parlamentario Vasco (EAJ-PNV)</t>
  </si>
  <si>
    <t>PNV</t>
  </si>
  <si>
    <t>Agüera Gago</t>
  </si>
  <si>
    <t>DIP_29</t>
  </si>
  <si>
    <t>Agüera Gago, Cristina</t>
  </si>
  <si>
    <t>Barcelona</t>
  </si>
  <si>
    <t>Rocío</t>
  </si>
  <si>
    <t>Aguirre Gil de Biedma</t>
  </si>
  <si>
    <t>DIP_38</t>
  </si>
  <si>
    <t>Aguirre Gil de Biedma, Rocío</t>
  </si>
  <si>
    <t>Juan José</t>
  </si>
  <si>
    <t>Aizcorbe Torra</t>
  </si>
  <si>
    <t>DIP_42</t>
  </si>
  <si>
    <t>Aizcorbe Torra, Juan José</t>
  </si>
  <si>
    <t>Mertxe</t>
  </si>
  <si>
    <t>Aizpurua Arzallus</t>
  </si>
  <si>
    <t>DIP_44</t>
  </si>
  <si>
    <t>Aizpurua Arzallus, Mertxe</t>
  </si>
  <si>
    <t>Grupo Parlamentario Euskal Herria Bildu</t>
  </si>
  <si>
    <t>EH BILDU</t>
  </si>
  <si>
    <t>José Manuel</t>
  </si>
  <si>
    <t>Albares Bueno</t>
  </si>
  <si>
    <t>DIP_54</t>
  </si>
  <si>
    <t>Albares Bueno, José Manuel</t>
  </si>
  <si>
    <t>Francisco José</t>
  </si>
  <si>
    <t>Alcaraz Martos</t>
  </si>
  <si>
    <t>DIP_68</t>
  </si>
  <si>
    <t>Alcaraz Martos, Francisco José</t>
  </si>
  <si>
    <t>Jaén</t>
  </si>
  <si>
    <t>María Pilar</t>
  </si>
  <si>
    <t>Alegría Continente</t>
  </si>
  <si>
    <t>DIP_78</t>
  </si>
  <si>
    <t>Alegría Continente, María Pilar</t>
  </si>
  <si>
    <t>Zaragoza</t>
  </si>
  <si>
    <t>Javier</t>
  </si>
  <si>
    <t>Alfonso Cendón</t>
  </si>
  <si>
    <t>DIP_81</t>
  </si>
  <si>
    <t>Alfonso Cendón, Javier</t>
  </si>
  <si>
    <t>León</t>
  </si>
  <si>
    <t>Alma</t>
  </si>
  <si>
    <t>Alfonso Silvestre</t>
  </si>
  <si>
    <t>DIP_84</t>
  </si>
  <si>
    <t>Alfonso Silvestre, Alma</t>
  </si>
  <si>
    <t>Alía Aguado</t>
  </si>
  <si>
    <t>DIP_85</t>
  </si>
  <si>
    <t>Alía Aguado, María Pilar</t>
  </si>
  <si>
    <t>Toledo</t>
  </si>
  <si>
    <t>Oriol</t>
  </si>
  <si>
    <t>Almirón Ruiz</t>
  </si>
  <si>
    <t>DIP_91</t>
  </si>
  <si>
    <t>Almirón Ruiz, Oriol</t>
  </si>
  <si>
    <t>Emilia</t>
  </si>
  <si>
    <t>Almodóvar Sánchez</t>
  </si>
  <si>
    <t>DIP_93</t>
  </si>
  <si>
    <t>Almodóvar Sánchez, Emilia</t>
  </si>
  <si>
    <t>Cáceres</t>
  </si>
  <si>
    <t>Fèlix</t>
  </si>
  <si>
    <t>Alonso Cantorné</t>
  </si>
  <si>
    <t>DIP_98</t>
  </si>
  <si>
    <t>Alonso Cantorné, Fèlix</t>
  </si>
  <si>
    <t>Tarragona</t>
  </si>
  <si>
    <t>Grupo Parlamentario Republicano</t>
  </si>
  <si>
    <t>SUMAR</t>
  </si>
  <si>
    <t>Grupo Parlamentario Plurinacional SUMAR</t>
  </si>
  <si>
    <t>Ana Isabel</t>
  </si>
  <si>
    <t>Alós López</t>
  </si>
  <si>
    <t>DIP_114</t>
  </si>
  <si>
    <t>Alós López, Ana Isabel</t>
  </si>
  <si>
    <t>Huesca</t>
  </si>
  <si>
    <t>Cayetana</t>
  </si>
  <si>
    <t>Álvarez de Toledo Peralta-Ramos</t>
  </si>
  <si>
    <t>DIP_123</t>
  </si>
  <si>
    <t>Álvarez de Toledo Peralta-Ramos, Cayetana</t>
  </si>
  <si>
    <t>Beatriz</t>
  </si>
  <si>
    <t>Álvarez Fanjul</t>
  </si>
  <si>
    <t>DIP_124</t>
  </si>
  <si>
    <t>Álvarez Fanjul, Beatriz</t>
  </si>
  <si>
    <t>Vizcaya</t>
  </si>
  <si>
    <t>Alicia</t>
  </si>
  <si>
    <t>Álvarez González</t>
  </si>
  <si>
    <t>DIP_128</t>
  </si>
  <si>
    <t>Álvarez González, Alicia</t>
  </si>
  <si>
    <t>Santa Cruz de Tenerife</t>
  </si>
  <si>
    <t>Francesc-Marc</t>
  </si>
  <si>
    <t>Álvaro Vidal</t>
  </si>
  <si>
    <t>DIP_139</t>
  </si>
  <si>
    <t>Álvaro Vidal, Francesc-Marc</t>
  </si>
  <si>
    <t>Esquerra Republicana</t>
  </si>
  <si>
    <t>Teslem</t>
  </si>
  <si>
    <t>Andala Ubbi</t>
  </si>
  <si>
    <t>DIP_152</t>
  </si>
  <si>
    <t>Andala Ubbi, Teslem</t>
  </si>
  <si>
    <t>Carmen</t>
  </si>
  <si>
    <t>Andrés Añón</t>
  </si>
  <si>
    <t>DIP_153</t>
  </si>
  <si>
    <t>Andrés Añón, Carmen</t>
  </si>
  <si>
    <t>Asier</t>
  </si>
  <si>
    <t>Antona Gómez</t>
  </si>
  <si>
    <t>DIP_166</t>
  </si>
  <si>
    <t>Antona Gómez, Asier</t>
  </si>
  <si>
    <t>Pablo</t>
  </si>
  <si>
    <t>Antuñano Colina</t>
  </si>
  <si>
    <t>DIP_167</t>
  </si>
  <si>
    <t>Antuñano Colina, Pablo</t>
  </si>
  <si>
    <t>Cantabria</t>
  </si>
  <si>
    <t>Carlos</t>
  </si>
  <si>
    <t>Aragonés Mendiguchía</t>
  </si>
  <si>
    <t>DIP_171</t>
  </si>
  <si>
    <t>Aragonés Mendiguchía, Carlos</t>
  </si>
  <si>
    <t>Francisco</t>
  </si>
  <si>
    <t>Aranda Vargas</t>
  </si>
  <si>
    <t>DIP_176</t>
  </si>
  <si>
    <t>Aranda Vargas, Francisco</t>
  </si>
  <si>
    <t>Trinidad Carmen</t>
  </si>
  <si>
    <t>Argota Castro</t>
  </si>
  <si>
    <t>DIP_189</t>
  </si>
  <si>
    <t>Argota Castro, Trinidad Carmen</t>
  </si>
  <si>
    <t>Sevilla</t>
  </si>
  <si>
    <t>Silverio</t>
  </si>
  <si>
    <t>Argüelles García</t>
  </si>
  <si>
    <t>DIP_190</t>
  </si>
  <si>
    <t>Argüelles García, Silverio</t>
  </si>
  <si>
    <t>Asturias</t>
  </si>
  <si>
    <t>Blanca</t>
  </si>
  <si>
    <t>Armario González</t>
  </si>
  <si>
    <t>DIP_198</t>
  </si>
  <si>
    <t>Armario González, Blanca</t>
  </si>
  <si>
    <t>Cádiz</t>
  </si>
  <si>
    <t>Francina</t>
  </si>
  <si>
    <t>Armengol Socias</t>
  </si>
  <si>
    <t>DIP_201</t>
  </si>
  <si>
    <t>Armengol Socias, Francina</t>
  </si>
  <si>
    <t>Islas Baleares</t>
  </si>
  <si>
    <t>Manuel</t>
  </si>
  <si>
    <t>Arribas Maroto</t>
  </si>
  <si>
    <t>DIP_212</t>
  </si>
  <si>
    <t>Arribas Maroto, Manuel</t>
  </si>
  <si>
    <t>Ávila</t>
  </si>
  <si>
    <t>Alberto</t>
  </si>
  <si>
    <t>Asarta Cuevas</t>
  </si>
  <si>
    <t>DIP_219</t>
  </si>
  <si>
    <t>Asarta Cuevas, Alberto</t>
  </si>
  <si>
    <t>Castellón</t>
  </si>
  <si>
    <t>Evarist</t>
  </si>
  <si>
    <t>Aznar Teruel</t>
  </si>
  <si>
    <t>DIP_236</t>
  </si>
  <si>
    <t>Aznar Teruel, Evarist</t>
  </si>
  <si>
    <t>Lázaro</t>
  </si>
  <si>
    <t>Azorín Salar</t>
  </si>
  <si>
    <t>DIP_237</t>
  </si>
  <si>
    <t>Azorín Salar, Lázaro</t>
  </si>
  <si>
    <t>Alicante</t>
  </si>
  <si>
    <t>Eloi</t>
  </si>
  <si>
    <t>Badia Casas</t>
  </si>
  <si>
    <t>DIP_243</t>
  </si>
  <si>
    <t>Badia Casas, Eloi</t>
  </si>
  <si>
    <t>Carmelo</t>
  </si>
  <si>
    <t>Barrio Baroja</t>
  </si>
  <si>
    <t>DIP_289</t>
  </si>
  <si>
    <t>Barrio Baroja, Carmelo</t>
  </si>
  <si>
    <t>Álava</t>
  </si>
  <si>
    <t>Montserrat</t>
  </si>
  <si>
    <t>Bassa Coll</t>
  </si>
  <si>
    <t>DIP_298</t>
  </si>
  <si>
    <t>Bassa Coll, Montserrat</t>
  </si>
  <si>
    <t>Girona</t>
  </si>
  <si>
    <t>Meritxell</t>
  </si>
  <si>
    <t>Batet Lamaña</t>
  </si>
  <si>
    <t>DIP_303</t>
  </si>
  <si>
    <t>Batet Lamaña, Meritxell</t>
  </si>
  <si>
    <t>Juan Andrés</t>
  </si>
  <si>
    <t>Bayón Rolo</t>
  </si>
  <si>
    <t>DIP_305</t>
  </si>
  <si>
    <t>Bayón Rolo, Juan Andrés</t>
  </si>
  <si>
    <t>Luis María</t>
  </si>
  <si>
    <t>Beamonte Mesa</t>
  </si>
  <si>
    <t>DIP_307</t>
  </si>
  <si>
    <t>Beamonte Mesa, Luis María</t>
  </si>
  <si>
    <t>Ione</t>
  </si>
  <si>
    <t>Belarra Urteaga</t>
  </si>
  <si>
    <t>DIP_314</t>
  </si>
  <si>
    <t>Belarra Urteaga, Ione</t>
  </si>
  <si>
    <t>Navarra</t>
  </si>
  <si>
    <t>PODEMOS</t>
  </si>
  <si>
    <t>Enrique</t>
  </si>
  <si>
    <t>Belda Pérez-Pedrero</t>
  </si>
  <si>
    <t>DIP_315</t>
  </si>
  <si>
    <t>Belda Pérez-Pedrero, Enrique</t>
  </si>
  <si>
    <t>Ciudad Real</t>
  </si>
  <si>
    <t>Rafael Benigno</t>
  </si>
  <si>
    <t>Belmonte Gómez</t>
  </si>
  <si>
    <t>DIP_318</t>
  </si>
  <si>
    <t>Belmonte Gómez, Rafael Benigno</t>
  </si>
  <si>
    <t>Elías</t>
  </si>
  <si>
    <t>Bendodo Benasayag</t>
  </si>
  <si>
    <t>DIP_323</t>
  </si>
  <si>
    <t>Bendodo Benasayag, Elías</t>
  </si>
  <si>
    <t>Málaga</t>
  </si>
  <si>
    <t>José Antonio</t>
  </si>
  <si>
    <t>Bermúdez de Castro Fernández</t>
  </si>
  <si>
    <t>DIP_338</t>
  </si>
  <si>
    <t>Bermúdez de Castro Fernández, José Antonio</t>
  </si>
  <si>
    <t>Salamanca</t>
  </si>
  <si>
    <t>Gabriel</t>
  </si>
  <si>
    <t>Blanco Arrúe</t>
  </si>
  <si>
    <t>DIP_354</t>
  </si>
  <si>
    <t>Blanco Arrúe, Gabriel</t>
  </si>
  <si>
    <t>Patricia</t>
  </si>
  <si>
    <t>Blanquer Alcaraz</t>
  </si>
  <si>
    <t>DIP_361</t>
  </si>
  <si>
    <t>Blanquer Alcaraz, Patricia</t>
  </si>
  <si>
    <t>Júlia</t>
  </si>
  <si>
    <t>Boada Danés</t>
  </si>
  <si>
    <t>DIP_367</t>
  </si>
  <si>
    <t>Boada Danés, Júlia</t>
  </si>
  <si>
    <t>Félix</t>
  </si>
  <si>
    <t>Bolaños García</t>
  </si>
  <si>
    <t>DIP_372</t>
  </si>
  <si>
    <t>Bolaños García, Félix</t>
  </si>
  <si>
    <t>Isabel María</t>
  </si>
  <si>
    <t>Borrego Cortés</t>
  </si>
  <si>
    <t>DIP_384</t>
  </si>
  <si>
    <t>Borrego Cortés, Isabel María</t>
  </si>
  <si>
    <t>Murcia</t>
  </si>
  <si>
    <t>Juan</t>
  </si>
  <si>
    <t>Bravo Baena</t>
  </si>
  <si>
    <t>DIP_396</t>
  </si>
  <si>
    <t>Bravo Baena, Juan</t>
  </si>
  <si>
    <t>Tomás</t>
  </si>
  <si>
    <t>Cabezón Casas</t>
  </si>
  <si>
    <t>DIP_442</t>
  </si>
  <si>
    <t>Cabezón Casas, Tomás</t>
  </si>
  <si>
    <t>Soria</t>
  </si>
  <si>
    <t>Iván</t>
  </si>
  <si>
    <t>Cacho Isla</t>
  </si>
  <si>
    <t>DIP_453</t>
  </si>
  <si>
    <t>Cacho Isla, Iván</t>
  </si>
  <si>
    <t>Pilar</t>
  </si>
  <si>
    <t>Calvo Gómez</t>
  </si>
  <si>
    <t>DIP_473</t>
  </si>
  <si>
    <t>Calvo Gómez, Pilar</t>
  </si>
  <si>
    <t>Grupo Parlamentario Junts per Catalunya</t>
  </si>
  <si>
    <t>Junts per Catalunya</t>
  </si>
  <si>
    <t>Calvo Poyato</t>
  </si>
  <si>
    <t>DIP_477</t>
  </si>
  <si>
    <t>Calvo Poyato, Carmen</t>
  </si>
  <si>
    <t>Víctor</t>
  </si>
  <si>
    <t>Camino Miñana</t>
  </si>
  <si>
    <t>DIP_490</t>
  </si>
  <si>
    <t>Camino Miñana, Víctor</t>
  </si>
  <si>
    <t>Jorge</t>
  </si>
  <si>
    <t>Campos Asensi</t>
  </si>
  <si>
    <t>DIP_498</t>
  </si>
  <si>
    <t>Campos Asensi, Jorge</t>
  </si>
  <si>
    <t>Andrea</t>
  </si>
  <si>
    <t>Canelo Matito</t>
  </si>
  <si>
    <t>DIP_510</t>
  </si>
  <si>
    <t>Canelo Matito, Andrea</t>
  </si>
  <si>
    <t>María de las Mercedes</t>
  </si>
  <si>
    <t>Cantalapiedra Álvarez</t>
  </si>
  <si>
    <t>DIP_518</t>
  </si>
  <si>
    <t>Cantalapiedra Álvarez, María de las Mercedes</t>
  </si>
  <si>
    <t>Valladolid</t>
  </si>
  <si>
    <t>Zaida</t>
  </si>
  <si>
    <t>Cantera de Castro</t>
  </si>
  <si>
    <t>DIP_521</t>
  </si>
  <si>
    <t>Cantera de Castro, Zaida</t>
  </si>
  <si>
    <t>Eduardo</t>
  </si>
  <si>
    <t>Carazo Hermoso</t>
  </si>
  <si>
    <t>DIP_537</t>
  </si>
  <si>
    <t>Carazo Hermoso, Eduardo</t>
  </si>
  <si>
    <t>María Eugenia</t>
  </si>
  <si>
    <t>Carballedo Berlanga</t>
  </si>
  <si>
    <t>DIP_538</t>
  </si>
  <si>
    <t>Carballedo Berlanga, María Eugenia</t>
  </si>
  <si>
    <t>Pedro</t>
  </si>
  <si>
    <t>Casares Hontañón</t>
  </si>
  <si>
    <t>DIP_567</t>
  </si>
  <si>
    <t>Casares Hontañón, Pedro</t>
  </si>
  <si>
    <t>María Carmen</t>
  </si>
  <si>
    <t>Castilla Álvarez</t>
  </si>
  <si>
    <t>DIP_586</t>
  </si>
  <si>
    <t>Castilla Álvarez, María Carmen</t>
  </si>
  <si>
    <t>Catalán Higueras</t>
  </si>
  <si>
    <t>DIP_603</t>
  </si>
  <si>
    <t>Catalán Higueras, Alberto</t>
  </si>
  <si>
    <t>UPN</t>
  </si>
  <si>
    <t>Antonio</t>
  </si>
  <si>
    <t>Cavacasillas Rodríguez</t>
  </si>
  <si>
    <t>DIP_605</t>
  </si>
  <si>
    <t>Cavacasillas Rodríguez, Antonio</t>
  </si>
  <si>
    <t>Badajoz</t>
  </si>
  <si>
    <t>Celaya Brey</t>
  </si>
  <si>
    <t>DIP_611</t>
  </si>
  <si>
    <t>Celaya Brey, Javier</t>
  </si>
  <si>
    <t>Ceuta</t>
  </si>
  <si>
    <t>Cercas Mena</t>
  </si>
  <si>
    <t>DIP_615</t>
  </si>
  <si>
    <t>Cercas Mena, Blanca</t>
  </si>
  <si>
    <t>Santos</t>
  </si>
  <si>
    <t>Cerdán León</t>
  </si>
  <si>
    <t>DIP_617</t>
  </si>
  <si>
    <t>Cerdán León, Santos</t>
  </si>
  <si>
    <t>Josep Maria</t>
  </si>
  <si>
    <t>Cervera Pinart</t>
  </si>
  <si>
    <t>DIP_620</t>
  </si>
  <si>
    <t>Cervera Pinart, Josep Maria</t>
  </si>
  <si>
    <t>Ricardo</t>
  </si>
  <si>
    <t>Chamorro Delmo</t>
  </si>
  <si>
    <t>DIP_629</t>
  </si>
  <si>
    <t>Chamorro Delmo, Ricardo</t>
  </si>
  <si>
    <t>Óscar</t>
  </si>
  <si>
    <t>Clavell López</t>
  </si>
  <si>
    <t>DIP_645</t>
  </si>
  <si>
    <t>Clavell López, Óscar</t>
  </si>
  <si>
    <t>Raquel</t>
  </si>
  <si>
    <t>Clemente Muñoz</t>
  </si>
  <si>
    <t>DIP_650</t>
  </si>
  <si>
    <t>Clemente Muñoz, Raquel</t>
  </si>
  <si>
    <t>Teruel</t>
  </si>
  <si>
    <t>Ana</t>
  </si>
  <si>
    <t>Cobo Carmona</t>
  </si>
  <si>
    <t>DIP_654</t>
  </si>
  <si>
    <t>Cobo Carmona, Ana</t>
  </si>
  <si>
    <t>Noelia</t>
  </si>
  <si>
    <t>Cobo Pérez</t>
  </si>
  <si>
    <t>DIP_655</t>
  </si>
  <si>
    <t>Cobo Pérez, Noelia</t>
  </si>
  <si>
    <t>Cobo Vega</t>
  </si>
  <si>
    <t>DIP_656</t>
  </si>
  <si>
    <t>Cobo Vega, Manuel</t>
  </si>
  <si>
    <t>Rafael</t>
  </si>
  <si>
    <t>Cofiño Fernández</t>
  </si>
  <si>
    <t>DIP_660</t>
  </si>
  <si>
    <t>Cofiño Fernández, Rafael</t>
  </si>
  <si>
    <t>Agustín</t>
  </si>
  <si>
    <t>Conde Bajén</t>
  </si>
  <si>
    <t>DIP_667</t>
  </si>
  <si>
    <t>Conde Bajén, Agustín</t>
  </si>
  <si>
    <t>Conde López</t>
  </si>
  <si>
    <t>DIP_669</t>
  </si>
  <si>
    <t>Conde López, Francisco José</t>
  </si>
  <si>
    <t>Ignasi</t>
  </si>
  <si>
    <t>Conesa Coma</t>
  </si>
  <si>
    <t>DIP_672</t>
  </si>
  <si>
    <t>Conesa Coma, Ignasi</t>
  </si>
  <si>
    <t>Mario</t>
  </si>
  <si>
    <t>Cortés Carballo</t>
  </si>
  <si>
    <t>DIP_691</t>
  </si>
  <si>
    <t>Cortés Carballo, Mario</t>
  </si>
  <si>
    <t>María Dolores</t>
  </si>
  <si>
    <t>Corujo Berriel</t>
  </si>
  <si>
    <t>DIP_698</t>
  </si>
  <si>
    <t>Corujo Berriel, María Dolores</t>
  </si>
  <si>
    <t>Las Palmas</t>
  </si>
  <si>
    <t>Rafaela</t>
  </si>
  <si>
    <t>Crespín Rubio</t>
  </si>
  <si>
    <t>DIP_716</t>
  </si>
  <si>
    <t>Crespín Rubio, Rafaela</t>
  </si>
  <si>
    <t>Córdoba</t>
  </si>
  <si>
    <t>Cruset Domènech</t>
  </si>
  <si>
    <t>DIP_721</t>
  </si>
  <si>
    <t>Cruset Domènech, Josep Maria</t>
  </si>
  <si>
    <t>Cruz Santana</t>
  </si>
  <si>
    <t>DIP_725</t>
  </si>
  <si>
    <t>Cruz Santana, Gabriel</t>
  </si>
  <si>
    <t>Huelva</t>
  </si>
  <si>
    <t>María Soledad</t>
  </si>
  <si>
    <t>Cruz-Guzmán García</t>
  </si>
  <si>
    <t>DIP_727</t>
  </si>
  <si>
    <t>Cruz-Guzmán García, María Soledad</t>
  </si>
  <si>
    <t>Cuesta Rodríguez</t>
  </si>
  <si>
    <t>DIP_740</t>
  </si>
  <si>
    <t>Cuesta Rodríguez, María</t>
  </si>
  <si>
    <t>Raúl</t>
  </si>
  <si>
    <t>Cuevas Larrosa</t>
  </si>
  <si>
    <t>DIP_743</t>
  </si>
  <si>
    <t>Cuevas Larrosa, Raúl</t>
  </si>
  <si>
    <t>De Andrés Guerra</t>
  </si>
  <si>
    <t>DIP_750</t>
  </si>
  <si>
    <t>De Andrés Guerra, Javier</t>
  </si>
  <si>
    <t>Olvido</t>
  </si>
  <si>
    <t>De la Rosa Baena</t>
  </si>
  <si>
    <t>DIP_758</t>
  </si>
  <si>
    <t>De la Rosa Baena, Olvido</t>
  </si>
  <si>
    <t>Granada</t>
  </si>
  <si>
    <t>De las Cuevas Cortés</t>
  </si>
  <si>
    <t>DIP_760</t>
  </si>
  <si>
    <t>De las Cuevas Cortés, Félix</t>
  </si>
  <si>
    <t>Jaime Miguel</t>
  </si>
  <si>
    <t>De los Santos González</t>
  </si>
  <si>
    <t>DIP_763</t>
  </si>
  <si>
    <t>De los Santos González, Jaime Miguel</t>
  </si>
  <si>
    <t>Llanos</t>
  </si>
  <si>
    <t>De Luna Tobarra</t>
  </si>
  <si>
    <t>DIP_764</t>
  </si>
  <si>
    <t>De Luna Tobarra, Llanos</t>
  </si>
  <si>
    <t>De Meer Méndez</t>
  </si>
  <si>
    <t>DIP_765</t>
  </si>
  <si>
    <t>De Meer Méndez, Rocío</t>
  </si>
  <si>
    <t>Almería</t>
  </si>
  <si>
    <t>Fernando</t>
  </si>
  <si>
    <t>De Rosa Torner</t>
  </si>
  <si>
    <t>DIP_768</t>
  </si>
  <si>
    <t>De Rosa Torner, Fernando</t>
  </si>
  <si>
    <t>María Luisa</t>
  </si>
  <si>
    <t>Del Moral Leal</t>
  </si>
  <si>
    <t>DIP_770</t>
  </si>
  <si>
    <t>Del Moral Leal, María Luisa</t>
  </si>
  <si>
    <t>Emilio Jesús</t>
  </si>
  <si>
    <t>Del Valle Rodríguez</t>
  </si>
  <si>
    <t>DIP_775</t>
  </si>
  <si>
    <t>Del Valle Rodríguez, Emilio Jesús</t>
  </si>
  <si>
    <t>Celso Luis</t>
  </si>
  <si>
    <t>Delgado Arce</t>
  </si>
  <si>
    <t>DIP_776</t>
  </si>
  <si>
    <t>Delgado Arce, Celso Luis</t>
  </si>
  <si>
    <t>Ourense</t>
  </si>
  <si>
    <t>Jimena</t>
  </si>
  <si>
    <t>Delgado-Taramona Hernández</t>
  </si>
  <si>
    <t>DIP_781</t>
  </si>
  <si>
    <t>Delgado-Taramona Hernández, Jimena</t>
  </si>
  <si>
    <t>Díaz Marín</t>
  </si>
  <si>
    <t>DIP_793</t>
  </si>
  <si>
    <t>Díaz Marín, Raúl</t>
  </si>
  <si>
    <t>La Rioja</t>
  </si>
  <si>
    <t>Yolanda</t>
  </si>
  <si>
    <t>Díaz Pérez</t>
  </si>
  <si>
    <t>DIP_795</t>
  </si>
  <si>
    <t>Díaz Pérez, Yolanda</t>
  </si>
  <si>
    <t>Luc Andre</t>
  </si>
  <si>
    <t>Diouf Dioh</t>
  </si>
  <si>
    <t>DIP_813</t>
  </si>
  <si>
    <t>Diouf Dioh, Luc Andre</t>
  </si>
  <si>
    <t>Íñigo</t>
  </si>
  <si>
    <t>Errejón Galván</t>
  </si>
  <si>
    <t>DIP_857</t>
  </si>
  <si>
    <t>Errejón Galván, Íñigo</t>
  </si>
  <si>
    <t>Aitor</t>
  </si>
  <si>
    <t>Esteban Bravo</t>
  </si>
  <si>
    <t>DIP_881</t>
  </si>
  <si>
    <t>Esteban Bravo, Aitor</t>
  </si>
  <si>
    <t>Etna</t>
  </si>
  <si>
    <t>Estrems Fayos</t>
  </si>
  <si>
    <t>DIP_895</t>
  </si>
  <si>
    <t>Estrems Fayos, Etna</t>
  </si>
  <si>
    <t>Fabra Part</t>
  </si>
  <si>
    <t>DIP_900</t>
  </si>
  <si>
    <t>Fabra Part, Alberto</t>
  </si>
  <si>
    <t>Antidio</t>
  </si>
  <si>
    <t>Fagúndez Campo</t>
  </si>
  <si>
    <t>DIP_902</t>
  </si>
  <si>
    <t>Fagúndez Campo, Antidio</t>
  </si>
  <si>
    <t>Zamora</t>
  </si>
  <si>
    <t>Faneca López</t>
  </si>
  <si>
    <t>DIP_906</t>
  </si>
  <si>
    <t>Faneca López, María Luisa</t>
  </si>
  <si>
    <t>Fernández Benéitez</t>
  </si>
  <si>
    <t>DIP_921</t>
  </si>
  <si>
    <t>Fernández Benéitez, Andrea</t>
  </si>
  <si>
    <t>María Mercedes</t>
  </si>
  <si>
    <t>Fernández González</t>
  </si>
  <si>
    <t>DIP_944</t>
  </si>
  <si>
    <t>Fernández González, María Mercedes</t>
  </si>
  <si>
    <t>Fernández Hernández</t>
  </si>
  <si>
    <t>DIP_946</t>
  </si>
  <si>
    <t>Fernández Hernández, Pedro</t>
  </si>
  <si>
    <t>Sandra</t>
  </si>
  <si>
    <t>Fernández Herranz</t>
  </si>
  <si>
    <t>DIP_947</t>
  </si>
  <si>
    <t>Fernández Herranz, Sandra</t>
  </si>
  <si>
    <t>Paula</t>
  </si>
  <si>
    <t>Fernández Pena</t>
  </si>
  <si>
    <t>DIP_962</t>
  </si>
  <si>
    <t>Fernández Pena, Paula</t>
  </si>
  <si>
    <t>Fernández Ríos</t>
  </si>
  <si>
    <t>DIP_965</t>
  </si>
  <si>
    <t>Fernández Ríos, Tomás</t>
  </si>
  <si>
    <t>José María</t>
  </si>
  <si>
    <t>Figaredo Álvarez-Sala</t>
  </si>
  <si>
    <t>DIP_994</t>
  </si>
  <si>
    <t>Figaredo Álvarez-Sala, José María</t>
  </si>
  <si>
    <t>Flores Juberías</t>
  </si>
  <si>
    <t>DIP_999</t>
  </si>
  <si>
    <t>Flores Juberías, Carlos</t>
  </si>
  <si>
    <t>Carlos Javier</t>
  </si>
  <si>
    <t>Floriano Corrales</t>
  </si>
  <si>
    <t>DIP_1003</t>
  </si>
  <si>
    <t>Floriano Corrales, Carlos Javier</t>
  </si>
  <si>
    <t>Javier José</t>
  </si>
  <si>
    <t>Folch Blanc</t>
  </si>
  <si>
    <t>DIP_1004</t>
  </si>
  <si>
    <t>Folch Blanc, Javier José</t>
  </si>
  <si>
    <t>Silvia</t>
  </si>
  <si>
    <t>Franco González</t>
  </si>
  <si>
    <t>DIP_1014</t>
  </si>
  <si>
    <t>Franco González, Silvia</t>
  </si>
  <si>
    <t>Marije</t>
  </si>
  <si>
    <t>Fullaondo la Cruz</t>
  </si>
  <si>
    <t>DIP_1032</t>
  </si>
  <si>
    <t>Fullaondo la Cruz, Marije</t>
  </si>
  <si>
    <t>Fúnez de Gregorio</t>
  </si>
  <si>
    <t>DIP_1034</t>
  </si>
  <si>
    <t>Fúnez de Gregorio, Carmen</t>
  </si>
  <si>
    <t>Pedro Ignacio</t>
  </si>
  <si>
    <t>Gallardo Barrena</t>
  </si>
  <si>
    <t>DIP_1044</t>
  </si>
  <si>
    <t>Gallardo Barrena, Pedro Ignacio</t>
  </si>
  <si>
    <t>Concepción</t>
  </si>
  <si>
    <t>Gamarra Ruiz-Clavijo</t>
  </si>
  <si>
    <t>DIP_1054</t>
  </si>
  <si>
    <t>Gamarra Ruiz-Clavijo, Concepción</t>
  </si>
  <si>
    <t>García Adanero</t>
  </si>
  <si>
    <t>DIP_1062</t>
  </si>
  <si>
    <t>García Adanero, Carlos</t>
  </si>
  <si>
    <t>Begoña</t>
  </si>
  <si>
    <t>García Bernal</t>
  </si>
  <si>
    <t>DIP_1069</t>
  </si>
  <si>
    <t>García Bernal, Begoña</t>
  </si>
  <si>
    <t>María Montserrat</t>
  </si>
  <si>
    <t>García Chavarría</t>
  </si>
  <si>
    <t>DIP_1074</t>
  </si>
  <si>
    <t>García Chavarría, María Montserrat</t>
  </si>
  <si>
    <t>A Coruña</t>
  </si>
  <si>
    <t>García Félix</t>
  </si>
  <si>
    <t>DIP_1083</t>
  </si>
  <si>
    <t>García Félix, Manuel</t>
  </si>
  <si>
    <t>David</t>
  </si>
  <si>
    <t>García Gomis</t>
  </si>
  <si>
    <t>DIP_1094</t>
  </si>
  <si>
    <t>García Gomis, David</t>
  </si>
  <si>
    <t>García Gurrutxaga</t>
  </si>
  <si>
    <t>DIP_1095</t>
  </si>
  <si>
    <t>García Gurrutxaga, María Luisa</t>
  </si>
  <si>
    <t>Maribel</t>
  </si>
  <si>
    <t>García López</t>
  </si>
  <si>
    <t>DIP_1099</t>
  </si>
  <si>
    <t>García López, Maribel</t>
  </si>
  <si>
    <t>Roberto</t>
  </si>
  <si>
    <t>García Morís</t>
  </si>
  <si>
    <t>DIP_1105</t>
  </si>
  <si>
    <t>García Morís, Roberto</t>
  </si>
  <si>
    <t>Cristóbal</t>
  </si>
  <si>
    <t>Garre Murcia</t>
  </si>
  <si>
    <t>DIP_1149</t>
  </si>
  <si>
    <t>Garre Murcia, Cristóbal</t>
  </si>
  <si>
    <t>Elisa</t>
  </si>
  <si>
    <t>Garrido Jiménez</t>
  </si>
  <si>
    <t>DIP_1153</t>
  </si>
  <si>
    <t>Garrido Jiménez, Elisa</t>
  </si>
  <si>
    <t>Irene</t>
  </si>
  <si>
    <t>Garrido Valenzuela</t>
  </si>
  <si>
    <t>DIP_1156</t>
  </si>
  <si>
    <t>Garrido Valenzuela, Irene</t>
  </si>
  <si>
    <t>Isidre</t>
  </si>
  <si>
    <t>Gavin i Valls</t>
  </si>
  <si>
    <t>DIP_1171</t>
  </si>
  <si>
    <t>Gavin i Valls, Isidre</t>
  </si>
  <si>
    <t>Lleida</t>
  </si>
  <si>
    <t>Esther</t>
  </si>
  <si>
    <t>Gil de Reboleño Lastortres</t>
  </si>
  <si>
    <t>DIP_1178</t>
  </si>
  <si>
    <t>Gil de Reboleño Lastortres, Esther</t>
  </si>
  <si>
    <t>Ignacio</t>
  </si>
  <si>
    <t>Gil Lázaro</t>
  </si>
  <si>
    <t>DIP_1180</t>
  </si>
  <si>
    <t>Gil Lázaro, Ignacio</t>
  </si>
  <si>
    <t>Gil Santiago</t>
  </si>
  <si>
    <t>DIP_1183</t>
  </si>
  <si>
    <t>Gil Santiago, Carlos</t>
  </si>
  <si>
    <t>José Ramón</t>
  </si>
  <si>
    <t>Gómez Besteiro</t>
  </si>
  <si>
    <t>DIP_1196</t>
  </si>
  <si>
    <t>Gómez Besteiro, José Ramón</t>
  </si>
  <si>
    <t>Héctor</t>
  </si>
  <si>
    <t>Gómez Hernández</t>
  </si>
  <si>
    <t>DIP_1206</t>
  </si>
  <si>
    <t>Gómez Hernández, Héctor</t>
  </si>
  <si>
    <t>Luis Antonio</t>
  </si>
  <si>
    <t>Gómez Piña</t>
  </si>
  <si>
    <t>DIP_1210</t>
  </si>
  <si>
    <t>Gómez Piña, Luis Antonio</t>
  </si>
  <si>
    <t>María del Mar</t>
  </si>
  <si>
    <t>González Bella</t>
  </si>
  <si>
    <t>DIP_1221</t>
  </si>
  <si>
    <t>González Bella, María del Mar</t>
  </si>
  <si>
    <t>Mercedes</t>
  </si>
  <si>
    <t>González Fernández</t>
  </si>
  <si>
    <t>DIP_1230</t>
  </si>
  <si>
    <t>González Fernández, Mercedes</t>
  </si>
  <si>
    <t>Juan Antonio</t>
  </si>
  <si>
    <t>González Gracia</t>
  </si>
  <si>
    <t>DIP_1235</t>
  </si>
  <si>
    <t>González Gracia, Juan Antonio</t>
  </si>
  <si>
    <t>González Herdaro</t>
  </si>
  <si>
    <t>DIP_1238</t>
  </si>
  <si>
    <t>González Herdaro, Ana</t>
  </si>
  <si>
    <t>Nahuel</t>
  </si>
  <si>
    <t>González López</t>
  </si>
  <si>
    <t>DIP_1242</t>
  </si>
  <si>
    <t>González López, Nahuel</t>
  </si>
  <si>
    <t>Esteban</t>
  </si>
  <si>
    <t>González Pons</t>
  </si>
  <si>
    <t>DIP_1252</t>
  </si>
  <si>
    <t>González Pons, Esteban</t>
  </si>
  <si>
    <t>Marta</t>
  </si>
  <si>
    <t>González Vázquez</t>
  </si>
  <si>
    <t>DIP_1266</t>
  </si>
  <si>
    <t>González Vázquez, Marta</t>
  </si>
  <si>
    <t>Jacobo</t>
  </si>
  <si>
    <t>González-Robatto Perote</t>
  </si>
  <si>
    <t>DIP_1274</t>
  </si>
  <si>
    <t>González-Robatto Perote, Jacobo</t>
  </si>
  <si>
    <t>Gracia Blanco</t>
  </si>
  <si>
    <t>DIP_1283</t>
  </si>
  <si>
    <t>Gracia Blanco, Marta</t>
  </si>
  <si>
    <t>Grande-Marlaska Gómez</t>
  </si>
  <si>
    <t>DIP_1291</t>
  </si>
  <si>
    <t>Grande-Marlaska Gómez, Fernando</t>
  </si>
  <si>
    <t>Inés</t>
  </si>
  <si>
    <t>Granollers Cunillera</t>
  </si>
  <si>
    <t>DIP_1293</t>
  </si>
  <si>
    <t>Granollers Cunillera, Inés</t>
  </si>
  <si>
    <t>Mirian</t>
  </si>
  <si>
    <t>Guardiola Salmerón</t>
  </si>
  <si>
    <t>DIP_1303</t>
  </si>
  <si>
    <t>Guardiola Salmerón, Mirian</t>
  </si>
  <si>
    <t>Sonia</t>
  </si>
  <si>
    <t>Guerra López</t>
  </si>
  <si>
    <t>DIP_1312</t>
  </si>
  <si>
    <t>Guerra López, Sonia</t>
  </si>
  <si>
    <t>Guijarro Ceballos</t>
  </si>
  <si>
    <t>DIP_1316</t>
  </si>
  <si>
    <t>Guijarro Ceballos, María</t>
  </si>
  <si>
    <t>Txema</t>
  </si>
  <si>
    <t>Guijarro García</t>
  </si>
  <si>
    <t>DIP_1317</t>
  </si>
  <si>
    <t>Guijarro García, Txema</t>
  </si>
  <si>
    <t>Lídia</t>
  </si>
  <si>
    <t>Guinart Moreno</t>
  </si>
  <si>
    <t>DIP_1323</t>
  </si>
  <si>
    <t>Guinart Moreno, Lídia</t>
  </si>
  <si>
    <t>Sergio</t>
  </si>
  <si>
    <t>Gutiérrez Prieto</t>
  </si>
  <si>
    <t>DIP_1335</t>
  </si>
  <si>
    <t>Gutiérrez Prieto, Sergio</t>
  </si>
  <si>
    <t>Gutiérrez Santiago</t>
  </si>
  <si>
    <t>DIP_1337</t>
  </si>
  <si>
    <t>Gutiérrez Santiago, Víctor</t>
  </si>
  <si>
    <t>Hernández Quero</t>
  </si>
  <si>
    <t>DIP_1358</t>
  </si>
  <si>
    <t>Hernández Quero, Carlos</t>
  </si>
  <si>
    <t>Rafael Antonio</t>
  </si>
  <si>
    <t>Hernando Fraile</t>
  </si>
  <si>
    <t>DIP_1363</t>
  </si>
  <si>
    <t>Hernando Fraile, Rafael Antonio</t>
  </si>
  <si>
    <t>Hernando Vera</t>
  </si>
  <si>
    <t>DIP_1364</t>
  </si>
  <si>
    <t>Hernando Vera, Antonio</t>
  </si>
  <si>
    <t>Milena</t>
  </si>
  <si>
    <t>Herrera García</t>
  </si>
  <si>
    <t>DIP_1369</t>
  </si>
  <si>
    <t>Herrera García, Milena</t>
  </si>
  <si>
    <t>José Alberto</t>
  </si>
  <si>
    <t>Herrero Bono</t>
  </si>
  <si>
    <t>DIP_1373</t>
  </si>
  <si>
    <t>Herrero Bono, José Alberto</t>
  </si>
  <si>
    <t>Hispán Iglesias de Ussel</t>
  </si>
  <si>
    <t>DIP_1383</t>
  </si>
  <si>
    <t>Hispán Iglesias de Ussel, Pablo</t>
  </si>
  <si>
    <t>Guillermo</t>
  </si>
  <si>
    <t>Hita Téllez</t>
  </si>
  <si>
    <t>DIP_1384</t>
  </si>
  <si>
    <t>Hita Téllez, Guillermo</t>
  </si>
  <si>
    <t>Hoces Íñiguez</t>
  </si>
  <si>
    <t>DIP_1385</t>
  </si>
  <si>
    <t>Hoces Íñiguez, Ignacio</t>
  </si>
  <si>
    <t>Belén</t>
  </si>
  <si>
    <t>Hoyo Juliá</t>
  </si>
  <si>
    <t>DIP_1392</t>
  </si>
  <si>
    <t>Hoyo Juliá, Belén</t>
  </si>
  <si>
    <t>Pedro Luis</t>
  </si>
  <si>
    <t>Huguet Tous</t>
  </si>
  <si>
    <t>DIP_1395</t>
  </si>
  <si>
    <t>Huguet Tous, Pedro Luis</t>
  </si>
  <si>
    <t>Ángel</t>
  </si>
  <si>
    <t>Ibáñez Hernando</t>
  </si>
  <si>
    <t>DIP_1402</t>
  </si>
  <si>
    <t>Ibáñez Hernando, Ángel</t>
  </si>
  <si>
    <t>Burgos</t>
  </si>
  <si>
    <t>Ibáñez Mezquita</t>
  </si>
  <si>
    <t>DIP_1403</t>
  </si>
  <si>
    <t>Ibáñez Mezquita, Alberto</t>
  </si>
  <si>
    <t>Miquel</t>
  </si>
  <si>
    <t>Iceta i Llorens</t>
  </si>
  <si>
    <t>DIP_1406</t>
  </si>
  <si>
    <t>Iceta i Llorens, Miquel</t>
  </si>
  <si>
    <t>Isabel</t>
  </si>
  <si>
    <t>Iniesta Egido</t>
  </si>
  <si>
    <t>DIP_1418</t>
  </si>
  <si>
    <t>Iniesta Egido, Isabel</t>
  </si>
  <si>
    <t>Albacete</t>
  </si>
  <si>
    <t>Jon</t>
  </si>
  <si>
    <t>Iñarritu García</t>
  </si>
  <si>
    <t>DIP_1419</t>
  </si>
  <si>
    <t>Iñarritu García, Jon</t>
  </si>
  <si>
    <t>Hana</t>
  </si>
  <si>
    <t>Jalloul Muro</t>
  </si>
  <si>
    <t>DIP_1431</t>
  </si>
  <si>
    <t>Jalloul Muro, Hana</t>
  </si>
  <si>
    <t>Juan Carlos</t>
  </si>
  <si>
    <t>Jerez Antequera</t>
  </si>
  <si>
    <t>DIP_1439</t>
  </si>
  <si>
    <t>Jerez Antequera, Juan Carlos</t>
  </si>
  <si>
    <t>Jiménez Linuesa</t>
  </si>
  <si>
    <t>DIP_1447</t>
  </si>
  <si>
    <t>Jiménez Linuesa, Beatriz</t>
  </si>
  <si>
    <t>Cuenca</t>
  </si>
  <si>
    <t>Jódar Pérez</t>
  </si>
  <si>
    <t>DIP_1457</t>
  </si>
  <si>
    <t>Jódar Pérez, Irene</t>
  </si>
  <si>
    <t>Teresa</t>
  </si>
  <si>
    <t>Jordà i Roura</t>
  </si>
  <si>
    <t>DIP_1458</t>
  </si>
  <si>
    <t>Jordà i Roura, Teresa</t>
  </si>
  <si>
    <t>Lago Peñas</t>
  </si>
  <si>
    <t>DIP_1484</t>
  </si>
  <si>
    <t>Lago Peñas, Manuel</t>
  </si>
  <si>
    <t>Marc</t>
  </si>
  <si>
    <t>Lamuà Estañol</t>
  </si>
  <si>
    <t>DIP_1489</t>
  </si>
  <si>
    <t>Lamuà Estañol, Marc</t>
  </si>
  <si>
    <t>Adriana</t>
  </si>
  <si>
    <t>Lastra Fernández</t>
  </si>
  <si>
    <t>DIP_1508</t>
  </si>
  <si>
    <t>Lastra Fernández, Adriana</t>
  </si>
  <si>
    <t>Isaura</t>
  </si>
  <si>
    <t>Leal Fernández</t>
  </si>
  <si>
    <t>DIP_1514</t>
  </si>
  <si>
    <t>Leal Fernández, Isaura</t>
  </si>
  <si>
    <t>Mikel</t>
  </si>
  <si>
    <t>Legarda Uriarte</t>
  </si>
  <si>
    <t>DIP_1518</t>
  </si>
  <si>
    <t>Legarda Uriarte, Mikel</t>
  </si>
  <si>
    <t>Laura María</t>
  </si>
  <si>
    <t>Lima García</t>
  </si>
  <si>
    <t>DIP_1526</t>
  </si>
  <si>
    <t>Lima García, Laura María</t>
  </si>
  <si>
    <t>Llamazares Domingo</t>
  </si>
  <si>
    <t>DIP_1530</t>
  </si>
  <si>
    <t>Llamazares Domingo, Esther</t>
  </si>
  <si>
    <t>Llorens Carbonell</t>
  </si>
  <si>
    <t>DIP_1535</t>
  </si>
  <si>
    <t>Llorens Carbonell, Teresa</t>
  </si>
  <si>
    <t>Lois González</t>
  </si>
  <si>
    <t>DIP_1539</t>
  </si>
  <si>
    <t>Lois González, Marta</t>
  </si>
  <si>
    <t>López Águeda</t>
  </si>
  <si>
    <t>DIP_1542</t>
  </si>
  <si>
    <t>López Águeda, Óscar</t>
  </si>
  <si>
    <t>Patxi</t>
  </si>
  <si>
    <t>López Álvarez</t>
  </si>
  <si>
    <t>DIP_1546</t>
  </si>
  <si>
    <t>López Álvarez, Patxi</t>
  </si>
  <si>
    <t>López Cano</t>
  </si>
  <si>
    <t>DIP_1551</t>
  </si>
  <si>
    <t>López Cano, Ignacio</t>
  </si>
  <si>
    <t>López Maraver</t>
  </si>
  <si>
    <t>DIP_1570</t>
  </si>
  <si>
    <t>López Maraver, Ángel</t>
  </si>
  <si>
    <t>Guadalajara</t>
  </si>
  <si>
    <t>Candela</t>
  </si>
  <si>
    <t>López Tagliafico</t>
  </si>
  <si>
    <t>DIP_1583</t>
  </si>
  <si>
    <t>López Tagliafico, Candela</t>
  </si>
  <si>
    <t>López Zamora</t>
  </si>
  <si>
    <t>DIP_1587</t>
  </si>
  <si>
    <t>López Zamora, Cristina</t>
  </si>
  <si>
    <t>Macarena</t>
  </si>
  <si>
    <t>Lorente Anaya</t>
  </si>
  <si>
    <t>DIP_1594</t>
  </si>
  <si>
    <t>Lorente Anaya, Macarena</t>
  </si>
  <si>
    <t>Lorenzo Cazorla</t>
  </si>
  <si>
    <t>DIP_1595</t>
  </si>
  <si>
    <t>Lorenzo Cazorla, Juan Antonio</t>
  </si>
  <si>
    <t>José</t>
  </si>
  <si>
    <t>Losada Fernández</t>
  </si>
  <si>
    <t>DIP_1599</t>
  </si>
  <si>
    <t>Losada Fernández, José</t>
  </si>
  <si>
    <t>Lucas Ayala</t>
  </si>
  <si>
    <t>DIP_1603</t>
  </si>
  <si>
    <t>Lucas Ayala, Francisco</t>
  </si>
  <si>
    <t>Alfonso Carlos</t>
  </si>
  <si>
    <t>Macías Gata</t>
  </si>
  <si>
    <t>DIP_1616</t>
  </si>
  <si>
    <t>Macías Gata, Alfonso Carlos</t>
  </si>
  <si>
    <t>Madrenas i Mir</t>
  </si>
  <si>
    <t>DIP_1623</t>
  </si>
  <si>
    <t>Madrenas i Mir, Marta</t>
  </si>
  <si>
    <t>Bartolomé</t>
  </si>
  <si>
    <t>Madrid Olmo</t>
  </si>
  <si>
    <t>DIP_1625</t>
  </si>
  <si>
    <t>Madrid Olmo, Bartolomé</t>
  </si>
  <si>
    <t>Maldonado López</t>
  </si>
  <si>
    <t>DIP_1634</t>
  </si>
  <si>
    <t>Maldonado López, Adriana</t>
  </si>
  <si>
    <t>Milagros</t>
  </si>
  <si>
    <t>Marcos Ortega</t>
  </si>
  <si>
    <t>DIP_1651</t>
  </si>
  <si>
    <t>Marcos Ortega, Milagros</t>
  </si>
  <si>
    <t>Palencia</t>
  </si>
  <si>
    <t>José Vicente</t>
  </si>
  <si>
    <t>Marí Bosó</t>
  </si>
  <si>
    <t>DIP_1654</t>
  </si>
  <si>
    <t>Marí Bosó, José Vicente</t>
  </si>
  <si>
    <t>Luis Alberto</t>
  </si>
  <si>
    <t>Marín González</t>
  </si>
  <si>
    <t>DIP_1656</t>
  </si>
  <si>
    <t>Marín González, Luis Alberto</t>
  </si>
  <si>
    <t>Mariscal Anaya</t>
  </si>
  <si>
    <t>DIP_1659</t>
  </si>
  <si>
    <t>Mariscal Anaya, Guillermo</t>
  </si>
  <si>
    <t>Mariscal Zabala</t>
  </si>
  <si>
    <t>DIP_1661</t>
  </si>
  <si>
    <t>Mariscal Zabala, Manuel</t>
  </si>
  <si>
    <t>Amador</t>
  </si>
  <si>
    <t>Marqués Atés</t>
  </si>
  <si>
    <t>DIP_1666</t>
  </si>
  <si>
    <t>Marqués Atés, Amador</t>
  </si>
  <si>
    <t>Nacho</t>
  </si>
  <si>
    <t>Martín Blanco</t>
  </si>
  <si>
    <t>DIP_1680</t>
  </si>
  <si>
    <t>Martín Blanco, Nacho</t>
  </si>
  <si>
    <t>Pedro Samuel</t>
  </si>
  <si>
    <t>Martín García</t>
  </si>
  <si>
    <t>DIP_1683</t>
  </si>
  <si>
    <t>Martín García, Pedro Samuel</t>
  </si>
  <si>
    <t>Andreu</t>
  </si>
  <si>
    <t>Martín Martínez</t>
  </si>
  <si>
    <t>DIP_1690</t>
  </si>
  <si>
    <t>Martín Martínez, Andreu</t>
  </si>
  <si>
    <t>Margarita</t>
  </si>
  <si>
    <t>Martín Rodríguez</t>
  </si>
  <si>
    <t>DIP_1700</t>
  </si>
  <si>
    <t>Martín Rodríguez, Margarita</t>
  </si>
  <si>
    <t>Martín Urriza</t>
  </si>
  <si>
    <t>DIP_1705</t>
  </si>
  <si>
    <t>Martín Urriza, Carlos</t>
  </si>
  <si>
    <t>Verónica</t>
  </si>
  <si>
    <t>Martínez Barbero</t>
  </si>
  <si>
    <t>DIP_1711</t>
  </si>
  <si>
    <t>Martínez Barbero, Verónica</t>
  </si>
  <si>
    <t>Martínez Gómez</t>
  </si>
  <si>
    <t>DIP_1724</t>
  </si>
  <si>
    <t>Martínez Gómez, Antonio</t>
  </si>
  <si>
    <t>Lander</t>
  </si>
  <si>
    <t>Martínez Hierro</t>
  </si>
  <si>
    <t>DIP_1729</t>
  </si>
  <si>
    <t>Martínez Hierro, Lander</t>
  </si>
  <si>
    <t>Martínez Labella</t>
  </si>
  <si>
    <t>DIP_1732</t>
  </si>
  <si>
    <t>Martínez Labella, Ana</t>
  </si>
  <si>
    <t>Martínez Ramírez</t>
  </si>
  <si>
    <t>DIP_1744</t>
  </si>
  <si>
    <t>Martínez Ramírez, Carmen</t>
  </si>
  <si>
    <t>Joaquín</t>
  </si>
  <si>
    <t>Martínez Salmerón</t>
  </si>
  <si>
    <t>DIP_1748</t>
  </si>
  <si>
    <t>Martínez Salmerón, Joaquín</t>
  </si>
  <si>
    <t>María Luz</t>
  </si>
  <si>
    <t>Martínez Seijo</t>
  </si>
  <si>
    <t>DIP_1754</t>
  </si>
  <si>
    <t>Martínez Seijo, María Luz</t>
  </si>
  <si>
    <t>Sergio Carlos</t>
  </si>
  <si>
    <t>Matos Castro</t>
  </si>
  <si>
    <t>DIP_1784</t>
  </si>
  <si>
    <t>Matos Castro, Sergio Carlos</t>
  </si>
  <si>
    <t>Oskar</t>
  </si>
  <si>
    <t>Matute García de Jalón</t>
  </si>
  <si>
    <t>DIP_1787</t>
  </si>
  <si>
    <t>Matute García de Jalón, Oskar</t>
  </si>
  <si>
    <t>Mayoral de Lamo</t>
  </si>
  <si>
    <t>DIP_1796</t>
  </si>
  <si>
    <t>Mayoral de Lamo, Alberto</t>
  </si>
  <si>
    <t>Jesús</t>
  </si>
  <si>
    <t>Mayoral Pérez</t>
  </si>
  <si>
    <t>DIP_1798</t>
  </si>
  <si>
    <t>Mayoral Pérez, Jesús</t>
  </si>
  <si>
    <t>Carina</t>
  </si>
  <si>
    <t>Mejías Sánchez</t>
  </si>
  <si>
    <t>DIP_1811</t>
  </si>
  <si>
    <t>Mejías Sánchez, Carina</t>
  </si>
  <si>
    <t>Melgarejo Moreno</t>
  </si>
  <si>
    <t>DIP_1812</t>
  </si>
  <si>
    <t>Melgarejo Moreno, Joaquín</t>
  </si>
  <si>
    <t>Valle</t>
  </si>
  <si>
    <t>Mellado Sierra</t>
  </si>
  <si>
    <t>DIP_1814</t>
  </si>
  <si>
    <t>Mellado Sierra, Valle</t>
  </si>
  <si>
    <t>Lourdes</t>
  </si>
  <si>
    <t>Méndez Monasterio</t>
  </si>
  <si>
    <t>DIP_1822</t>
  </si>
  <si>
    <t>Méndez Monasterio, Lourdes</t>
  </si>
  <si>
    <t>Pepe</t>
  </si>
  <si>
    <t>Mercadal Baquero</t>
  </si>
  <si>
    <t>DIP_1826</t>
  </si>
  <si>
    <t>Mercadal Baquero, Pepe</t>
  </si>
  <si>
    <t>Merino Martínez</t>
  </si>
  <si>
    <t>DIP_1831</t>
  </si>
  <si>
    <t>Merino Martínez, Javier</t>
  </si>
  <si>
    <t>Joan</t>
  </si>
  <si>
    <t>Mesquida Mayans</t>
  </si>
  <si>
    <t>DIP_1835</t>
  </si>
  <si>
    <t>Mesquida Mayans, Joan</t>
  </si>
  <si>
    <t>Àgueda</t>
  </si>
  <si>
    <t>Micó Micó</t>
  </si>
  <si>
    <t>DIP_1840</t>
  </si>
  <si>
    <t>Micó Micó, Àgueda</t>
  </si>
  <si>
    <t>Montse</t>
  </si>
  <si>
    <t>Mínguez García</t>
  </si>
  <si>
    <t>DIP_1850</t>
  </si>
  <si>
    <t>Mínguez García, Montse</t>
  </si>
  <si>
    <t>Miñones Conde</t>
  </si>
  <si>
    <t>DIP_1851</t>
  </si>
  <si>
    <t>Miñones Conde, José</t>
  </si>
  <si>
    <t>Ainhoa</t>
  </si>
  <si>
    <t>Molina León</t>
  </si>
  <si>
    <t>DIP_1865</t>
  </si>
  <si>
    <t>Molina León, Ainhoa</t>
  </si>
  <si>
    <t>María Sandra</t>
  </si>
  <si>
    <t>Moneo Díez</t>
  </si>
  <si>
    <t>DIP_1871</t>
  </si>
  <si>
    <t>Moneo Díez, María Sandra</t>
  </si>
  <si>
    <t>Vicente</t>
  </si>
  <si>
    <t>Montávez Aguillaume</t>
  </si>
  <si>
    <t>DIP_1877</t>
  </si>
  <si>
    <t>Montávez Aguillaume, Vicente</t>
  </si>
  <si>
    <t>María Jesús</t>
  </si>
  <si>
    <t>Montero Cuadrado</t>
  </si>
  <si>
    <t>DIP_1880</t>
  </si>
  <si>
    <t>Montero Cuadrado, María Jesús</t>
  </si>
  <si>
    <t>Montesinos de Miguel</t>
  </si>
  <si>
    <t>DIP_1887</t>
  </si>
  <si>
    <t>Montesinos de Miguel, Macarena</t>
  </si>
  <si>
    <t>Tristana María</t>
  </si>
  <si>
    <t>Moraleja Gómez</t>
  </si>
  <si>
    <t>DIP_1906</t>
  </si>
  <si>
    <t>Moraleja Gómez, Tristana María</t>
  </si>
  <si>
    <t>Álvaro</t>
  </si>
  <si>
    <t>Morales Álvarez</t>
  </si>
  <si>
    <t>DIP_1907</t>
  </si>
  <si>
    <t>Morales Álvarez, Álvaro</t>
  </si>
  <si>
    <t>Diana</t>
  </si>
  <si>
    <t>Morant Ripoll</t>
  </si>
  <si>
    <t>DIP_1912</t>
  </si>
  <si>
    <t>Morant Ripoll, Diana</t>
  </si>
  <si>
    <t>Moreno Borrás</t>
  </si>
  <si>
    <t>DIP_1917</t>
  </si>
  <si>
    <t>Moreno Borrás, Cristina</t>
  </si>
  <si>
    <t>Mª Isabel</t>
  </si>
  <si>
    <t>Moreno Fernández</t>
  </si>
  <si>
    <t>DIP_1923</t>
  </si>
  <si>
    <t>Moreno Fernández, Mª Isabel</t>
  </si>
  <si>
    <t>Moro Almaraz</t>
  </si>
  <si>
    <t>DIP_1938</t>
  </si>
  <si>
    <t>Moro Almaraz, María Jesús</t>
  </si>
  <si>
    <t>Muñoz Abrines</t>
  </si>
  <si>
    <t>DIP_1953</t>
  </si>
  <si>
    <t>Muñoz Abrines, Pedro</t>
  </si>
  <si>
    <t>Ester</t>
  </si>
  <si>
    <t>Muñoz de la Iglesia</t>
  </si>
  <si>
    <t>DIP_1957</t>
  </si>
  <si>
    <t>Muñoz de la Iglesia, Ester</t>
  </si>
  <si>
    <t>Aurora</t>
  </si>
  <si>
    <t>Nacarino-Brabo Jiménez</t>
  </si>
  <si>
    <t>DIP_1975</t>
  </si>
  <si>
    <t>Nacarino-Brabo Jiménez, Aurora</t>
  </si>
  <si>
    <t>Narbona Ruiz</t>
  </si>
  <si>
    <t>DIP_1982</t>
  </si>
  <si>
    <t>Narbona Ruiz, Cristina</t>
  </si>
  <si>
    <t>Nasarre Oliva</t>
  </si>
  <si>
    <t>DIP_1986</t>
  </si>
  <si>
    <t>Nasarre Oliva, Begoña</t>
  </si>
  <si>
    <t>Navarro Lacoba</t>
  </si>
  <si>
    <t>DIP_1996</t>
  </si>
  <si>
    <t>Navarro Lacoba, Carmen</t>
  </si>
  <si>
    <t>Navarro López</t>
  </si>
  <si>
    <t>DIP_1997</t>
  </si>
  <si>
    <t>Navarro López, Pedro</t>
  </si>
  <si>
    <t>Míriam</t>
  </si>
  <si>
    <t>Nogueras i Camero</t>
  </si>
  <si>
    <t>DIP_2008</t>
  </si>
  <si>
    <t>Nogueras i Camero, Míriam</t>
  </si>
  <si>
    <t>Noriega Gómez</t>
  </si>
  <si>
    <t>DIP_2009</t>
  </si>
  <si>
    <t>Noriega Gómez, Javier</t>
  </si>
  <si>
    <t>Núñez Feijóo</t>
  </si>
  <si>
    <t>DIP_2017</t>
  </si>
  <si>
    <t>Núñez Feijóo, Alberto</t>
  </si>
  <si>
    <t>Núñez González</t>
  </si>
  <si>
    <t>DIP_2019</t>
  </si>
  <si>
    <t>Núñez González, Noelia</t>
  </si>
  <si>
    <t>José Enrique</t>
  </si>
  <si>
    <t>Núñez Guijarro</t>
  </si>
  <si>
    <t>DIP_2020</t>
  </si>
  <si>
    <t>Núñez Guijarro, José Enrique</t>
  </si>
  <si>
    <t>Viviane</t>
  </si>
  <si>
    <t>Ogou i Corbi</t>
  </si>
  <si>
    <t>DIP_2026</t>
  </si>
  <si>
    <t>Ogou i Corbi, Viviane</t>
  </si>
  <si>
    <t>Jaime Eduardo de</t>
  </si>
  <si>
    <t>Olano Vela</t>
  </si>
  <si>
    <t>DIP_2030</t>
  </si>
  <si>
    <t>Olano Vela, Jaime Eduardo de</t>
  </si>
  <si>
    <t>Francisco Javier</t>
  </si>
  <si>
    <t>Ortega Smith-Molina</t>
  </si>
  <si>
    <t>DIP_2064</t>
  </si>
  <si>
    <t>Ortega Smith-Molina, Francisco Javier</t>
  </si>
  <si>
    <t>Otero Gabirondo</t>
  </si>
  <si>
    <t>DIP_2077</t>
  </si>
  <si>
    <t>Otero Gabirondo, Mikel</t>
  </si>
  <si>
    <t>Otero García</t>
  </si>
  <si>
    <t>DIP_2078</t>
  </si>
  <si>
    <t>Otero García, Mercedes</t>
  </si>
  <si>
    <t>Otero Rodríguez</t>
  </si>
  <si>
    <t>DIP_2081</t>
  </si>
  <si>
    <t>Otero Rodríguez, Patricia</t>
  </si>
  <si>
    <t>Josep</t>
  </si>
  <si>
    <t>Pagès i Massó</t>
  </si>
  <si>
    <t>DIP_2090</t>
  </si>
  <si>
    <t>Pagès i Massó, Josep</t>
  </si>
  <si>
    <t>Palencia Rubio</t>
  </si>
  <si>
    <t>DIP_2098</t>
  </si>
  <si>
    <t>Palencia Rubio, Héctor</t>
  </si>
  <si>
    <t>Miguel Ángel</t>
  </si>
  <si>
    <t>Paniagua Núñez</t>
  </si>
  <si>
    <t>DIP_2104</t>
  </si>
  <si>
    <t>Paniagua Núñez, Miguel Ángel</t>
  </si>
  <si>
    <t>Paré Aregall</t>
  </si>
  <si>
    <t>DIP_2111</t>
  </si>
  <si>
    <t>Paré Aregall, Josep</t>
  </si>
  <si>
    <t>Julia</t>
  </si>
  <si>
    <t>Parra Aparicio</t>
  </si>
  <si>
    <t>DIP_2114</t>
  </si>
  <si>
    <t>Parra Aparicio, Julia</t>
  </si>
  <si>
    <t>Parra Gallego</t>
  </si>
  <si>
    <t>DIP_2115</t>
  </si>
  <si>
    <t>Parra Gallego, Agustín</t>
  </si>
  <si>
    <t>Pascual Rocamora</t>
  </si>
  <si>
    <t>DIP_2122</t>
  </si>
  <si>
    <t>Pascual Rocamora, Sandra</t>
  </si>
  <si>
    <t>Ana María</t>
  </si>
  <si>
    <t>Pastor Julián</t>
  </si>
  <si>
    <t>DIP_2124</t>
  </si>
  <si>
    <t>Pastor Julián, Ana María</t>
  </si>
  <si>
    <t>Juan Luis</t>
  </si>
  <si>
    <t>Pedreño Molina</t>
  </si>
  <si>
    <t>DIP_2132</t>
  </si>
  <si>
    <t>Pedreño Molina, Juan Luis</t>
  </si>
  <si>
    <t>Peña Camarero</t>
  </si>
  <si>
    <t>DIP_2140</t>
  </si>
  <si>
    <t>Peña Camarero, Esther</t>
  </si>
  <si>
    <t>María Mercè</t>
  </si>
  <si>
    <t>Perea i Conillas</t>
  </si>
  <si>
    <t>DIP_2150</t>
  </si>
  <si>
    <t>Perea i Conillas, María Mercè</t>
  </si>
  <si>
    <t>Pérez Coronado</t>
  </si>
  <si>
    <t>DIP_2164</t>
  </si>
  <si>
    <t>Pérez Coronado, Pablo</t>
  </si>
  <si>
    <t>Pérez López</t>
  </si>
  <si>
    <t>DIP_2181</t>
  </si>
  <si>
    <t>Pérez López, Álvaro</t>
  </si>
  <si>
    <t>Pérez Ortiz</t>
  </si>
  <si>
    <t>DIP_2191</t>
  </si>
  <si>
    <t>Pérez Ortiz, Isabel María</t>
  </si>
  <si>
    <t>Daniel</t>
  </si>
  <si>
    <t>Pérez Osma</t>
  </si>
  <si>
    <t>DIP_2192</t>
  </si>
  <si>
    <t>Pérez Osma, Daniel</t>
  </si>
  <si>
    <t>Isabel Gema</t>
  </si>
  <si>
    <t>Pérez Recuerda</t>
  </si>
  <si>
    <t>DIP_2193</t>
  </si>
  <si>
    <t>Pérez Recuerda, Isabel Gema</t>
  </si>
  <si>
    <t>Gala</t>
  </si>
  <si>
    <t>Pin Ferrando</t>
  </si>
  <si>
    <t>DIP_2220</t>
  </si>
  <si>
    <t>Pin Ferrando, Gala</t>
  </si>
  <si>
    <t>Gerardo</t>
  </si>
  <si>
    <t>Pisarello Prados</t>
  </si>
  <si>
    <t>DIP_2232</t>
  </si>
  <si>
    <t>Pisarello Prados, Gerardo</t>
  </si>
  <si>
    <t>Luis</t>
  </si>
  <si>
    <t>Planas Puchades</t>
  </si>
  <si>
    <t>DIP_2242</t>
  </si>
  <si>
    <t>Planas Puchades, Luis</t>
  </si>
  <si>
    <t>Plaza García</t>
  </si>
  <si>
    <t>DIP_2244</t>
  </si>
  <si>
    <t>Plaza García, Inés</t>
  </si>
  <si>
    <t>María Araceli</t>
  </si>
  <si>
    <t>Poblador Pacheco</t>
  </si>
  <si>
    <t>DIP_2247</t>
  </si>
  <si>
    <t>Poblador Pacheco, María Araceli</t>
  </si>
  <si>
    <t>Modesto</t>
  </si>
  <si>
    <t>Pose Mesura</t>
  </si>
  <si>
    <t>DIP_2264</t>
  </si>
  <si>
    <t>Pose Mesura, Modesto</t>
  </si>
  <si>
    <t>Pozueta Fernández</t>
  </si>
  <si>
    <t>DIP_2270</t>
  </si>
  <si>
    <t>Pozueta Fernández, Isabel</t>
  </si>
  <si>
    <t>María Isabel</t>
  </si>
  <si>
    <t>Prieto Serrano</t>
  </si>
  <si>
    <t>DIP_2281</t>
  </si>
  <si>
    <t>Prieto Serrano, María Isabel</t>
  </si>
  <si>
    <t>Puente Santiago</t>
  </si>
  <si>
    <t>DIP_2287</t>
  </si>
  <si>
    <t>Puente Santiago, Óscar</t>
  </si>
  <si>
    <t>Pueyo Sanz</t>
  </si>
  <si>
    <t>DIP_2289</t>
  </si>
  <si>
    <t>Pueyo Sanz, Jorge</t>
  </si>
  <si>
    <t>Eduard</t>
  </si>
  <si>
    <t>Pujol Bonell</t>
  </si>
  <si>
    <t>DIP_2296</t>
  </si>
  <si>
    <t>Pujol Bonell, Eduard</t>
  </si>
  <si>
    <t>Puy Fraga</t>
  </si>
  <si>
    <t>DIP_2301</t>
  </si>
  <si>
    <t>Puy Fraga, Pedro</t>
  </si>
  <si>
    <t>Rosa</t>
  </si>
  <si>
    <t>Quintana Carballo</t>
  </si>
  <si>
    <t>DIP_2305</t>
  </si>
  <si>
    <t>Quintana Carballo, Rosa</t>
  </si>
  <si>
    <t>Quintanilla Navarro</t>
  </si>
  <si>
    <t>DIP_2309</t>
  </si>
  <si>
    <t>Quintanilla Navarro, Miguel Ángel</t>
  </si>
  <si>
    <t>Jonay</t>
  </si>
  <si>
    <t>Quintero Hernández</t>
  </si>
  <si>
    <t>DIP_2311</t>
  </si>
  <si>
    <t>Quintero Hernández, Jonay</t>
  </si>
  <si>
    <t>Artemi</t>
  </si>
  <si>
    <t>Rallo Lombarte</t>
  </si>
  <si>
    <t>DIP_2317</t>
  </si>
  <si>
    <t>Rallo Lombarte, Artemi</t>
  </si>
  <si>
    <t>Ramajo Prada</t>
  </si>
  <si>
    <t>DIP_2318</t>
  </si>
  <si>
    <t>Ramajo Prada, Óscar</t>
  </si>
  <si>
    <t>Arnau</t>
  </si>
  <si>
    <t>Ramírez Carner</t>
  </si>
  <si>
    <t>DIP_2322</t>
  </si>
  <si>
    <t>Ramírez Carner, Arnau</t>
  </si>
  <si>
    <t>Ramírez del Río</t>
  </si>
  <si>
    <t>DIP_2324</t>
  </si>
  <si>
    <t>Ramírez del Río, José</t>
  </si>
  <si>
    <t>María Lourdes</t>
  </si>
  <si>
    <t>Ramírez Martín</t>
  </si>
  <si>
    <t>DIP_2328</t>
  </si>
  <si>
    <t>Ramírez Martín, María Lourdes</t>
  </si>
  <si>
    <t>María de las Nieves</t>
  </si>
  <si>
    <t>Ramírez Moreno</t>
  </si>
  <si>
    <t>DIP_2329</t>
  </si>
  <si>
    <t>Ramírez Moreno, María de las Nieves</t>
  </si>
  <si>
    <t>César Joaquín</t>
  </si>
  <si>
    <t>Ramos Esteban</t>
  </si>
  <si>
    <t>DIP_2337</t>
  </si>
  <si>
    <t>Ramos Esteban, César Joaquín</t>
  </si>
  <si>
    <t>Alda</t>
  </si>
  <si>
    <t>Recas Martín</t>
  </si>
  <si>
    <t>DIP_2352</t>
  </si>
  <si>
    <t>Recas Martín, Alda</t>
  </si>
  <si>
    <t>Gonzalo</t>
  </si>
  <si>
    <t>Redondo Cárdenas</t>
  </si>
  <si>
    <t>DIP_2355</t>
  </si>
  <si>
    <t>Redondo Cárdenas, Gonzalo</t>
  </si>
  <si>
    <t>Regades Fernández</t>
  </si>
  <si>
    <t>DIP_2358</t>
  </si>
  <si>
    <t>Regades Fernández, David</t>
  </si>
  <si>
    <t>Néstor</t>
  </si>
  <si>
    <t>Rego Candamil</t>
  </si>
  <si>
    <t>DIP_2359</t>
  </si>
  <si>
    <t>Rego Candamil, Néstor</t>
  </si>
  <si>
    <t>BNG</t>
  </si>
  <si>
    <t>Nerea</t>
  </si>
  <si>
    <t>Renteria Lasanta</t>
  </si>
  <si>
    <t>DIP_2367</t>
  </si>
  <si>
    <t>Renteria Lasanta, Nerea</t>
  </si>
  <si>
    <t>Juan Diego</t>
  </si>
  <si>
    <t>Requena Ruiz</t>
  </si>
  <si>
    <t>DIP_2370</t>
  </si>
  <si>
    <t>Requena Ruiz, Juan Diego</t>
  </si>
  <si>
    <t>Luis Alfonso</t>
  </si>
  <si>
    <t>Rey de las Heras</t>
  </si>
  <si>
    <t>DIP_2377</t>
  </si>
  <si>
    <t>Rey de las Heras, Luis Alfonso</t>
  </si>
  <si>
    <t>Esperanza</t>
  </si>
  <si>
    <t>Reynal Reillo</t>
  </si>
  <si>
    <t>DIP_2382</t>
  </si>
  <si>
    <t>Reynal Reillo, Esperanza</t>
  </si>
  <si>
    <t>Ribera Rodríguez</t>
  </si>
  <si>
    <t>DIP_2387</t>
  </si>
  <si>
    <t>Ribera Rodríguez, Teresa</t>
  </si>
  <si>
    <t>Engracia</t>
  </si>
  <si>
    <t>Rivera Arias</t>
  </si>
  <si>
    <t>DIP_2409</t>
  </si>
  <si>
    <t>Rivera Arias, Engracia</t>
  </si>
  <si>
    <t>Marta María</t>
  </si>
  <si>
    <t>Rivera de la Cruz</t>
  </si>
  <si>
    <t>DIP_2410</t>
  </si>
  <si>
    <t>Rivera de la Cruz, Marta María</t>
  </si>
  <si>
    <t>Caridad</t>
  </si>
  <si>
    <t>Rives Arcayna</t>
  </si>
  <si>
    <t>DIP_2416</t>
  </si>
  <si>
    <t>Rives Arcayna, Caridad</t>
  </si>
  <si>
    <t>Robles Fernández</t>
  </si>
  <si>
    <t>DIP_2417</t>
  </si>
  <si>
    <t>Robles Fernández, Margarita</t>
  </si>
  <si>
    <t>Robles López</t>
  </si>
  <si>
    <t>DIP_2419</t>
  </si>
  <si>
    <t>Robles López, Joaquín</t>
  </si>
  <si>
    <t>Andrés Alberto</t>
  </si>
  <si>
    <t>Rodríguez Almeida</t>
  </si>
  <si>
    <t>DIP_2427</t>
  </si>
  <si>
    <t>Rodríguez Almeida, Andrés Alberto</t>
  </si>
  <si>
    <t>Rodríguez Calleja</t>
  </si>
  <si>
    <t>DIP_2433</t>
  </si>
  <si>
    <t>Rodríguez Calleja, Patricia</t>
  </si>
  <si>
    <t>María José</t>
  </si>
  <si>
    <t>Rodríguez de Millán Parro</t>
  </si>
  <si>
    <t>DIP_2437</t>
  </si>
  <si>
    <t>Rodríguez de Millán Parro, María José</t>
  </si>
  <si>
    <t>Rodríguez García</t>
  </si>
  <si>
    <t>DIP_2442</t>
  </si>
  <si>
    <t>Rodríguez García, Isabel</t>
  </si>
  <si>
    <t>Alfonso</t>
  </si>
  <si>
    <t>Rodríguez Gómez de Celis</t>
  </si>
  <si>
    <t>DIP_2445</t>
  </si>
  <si>
    <t>Rodríguez Gómez de Celis, Alfonso</t>
  </si>
  <si>
    <t>María Elvira</t>
  </si>
  <si>
    <t>Rodríguez Herrer</t>
  </si>
  <si>
    <t>DIP_2448</t>
  </si>
  <si>
    <t>Rodríguez Herrer, María Elvira</t>
  </si>
  <si>
    <t>Rodríguez Palacios</t>
  </si>
  <si>
    <t>DIP_2458</t>
  </si>
  <si>
    <t>Rodríguez Palacios, Javier</t>
  </si>
  <si>
    <t>Rodríguez Salas</t>
  </si>
  <si>
    <t>DIP_2467</t>
  </si>
  <si>
    <t>Rodríguez Salas, José Antonio</t>
  </si>
  <si>
    <t>Santi</t>
  </si>
  <si>
    <t>Rodríguez Serra</t>
  </si>
  <si>
    <t>DIP_2471</t>
  </si>
  <si>
    <t>Rodríguez Serra, Santi</t>
  </si>
  <si>
    <t>Rodríguez Suárez</t>
  </si>
  <si>
    <t>DIP_2472</t>
  </si>
  <si>
    <t>Rodríguez Suárez, Esther</t>
  </si>
  <si>
    <t>Rojas García</t>
  </si>
  <si>
    <t>DIP_2483</t>
  </si>
  <si>
    <t>Rojas García, Carlos</t>
  </si>
  <si>
    <t>Rojas Manrique</t>
  </si>
  <si>
    <t>DIP_2484</t>
  </si>
  <si>
    <t>Rojas Manrique, Juan Antonio</t>
  </si>
  <si>
    <t>Rojo Blas</t>
  </si>
  <si>
    <t>DIP_2486</t>
  </si>
  <si>
    <t>Rojo Blas, Alberto</t>
  </si>
  <si>
    <t>Román Jasanada</t>
  </si>
  <si>
    <t>DIP_2494</t>
  </si>
  <si>
    <t>Román Jasanada, Antonio</t>
  </si>
  <si>
    <t>José Ignacio</t>
  </si>
  <si>
    <t>Romaní Cantera</t>
  </si>
  <si>
    <t>DIP_2495</t>
  </si>
  <si>
    <t>Romaní Cantera, José Ignacio</t>
  </si>
  <si>
    <t>Romero Pozo</t>
  </si>
  <si>
    <t>DIP_2506</t>
  </si>
  <si>
    <t>Romero Pozo, Rafaela</t>
  </si>
  <si>
    <t>María de los Reyes</t>
  </si>
  <si>
    <t>Romero Vilches</t>
  </si>
  <si>
    <t>DIP_2510</t>
  </si>
  <si>
    <t>Romero Vilches, María de los Reyes</t>
  </si>
  <si>
    <t>Susana</t>
  </si>
  <si>
    <t>Ros Martínez</t>
  </si>
  <si>
    <t>DIP_2516</t>
  </si>
  <si>
    <t>Ros Martínez, Susana</t>
  </si>
  <si>
    <t>Rueda Perelló</t>
  </si>
  <si>
    <t>DIP_2536</t>
  </si>
  <si>
    <t>Rueda Perelló, Patricia</t>
  </si>
  <si>
    <t>Rufián Romero</t>
  </si>
  <si>
    <t>DIP_2537</t>
  </si>
  <si>
    <t>Rufián Romero, Gabriel</t>
  </si>
  <si>
    <t>Ruiz Boix</t>
  </si>
  <si>
    <t>DIP_2538</t>
  </si>
  <si>
    <t>Ruiz Boix, Juan Carlos</t>
  </si>
  <si>
    <t>Víctor Javier</t>
  </si>
  <si>
    <t>Ruiz de Diego</t>
  </si>
  <si>
    <t>DIP_2539</t>
  </si>
  <si>
    <t>Ruiz de Diego, Víctor Javier</t>
  </si>
  <si>
    <t>Iñaki</t>
  </si>
  <si>
    <t>Ruiz de Pinedo Undiano</t>
  </si>
  <si>
    <t>DIP_2540</t>
  </si>
  <si>
    <t>Ruiz de Pinedo Undiano, Iñaki</t>
  </si>
  <si>
    <t>María de la Cabeza</t>
  </si>
  <si>
    <t>Ruiz Solás</t>
  </si>
  <si>
    <t>DIP_2558</t>
  </si>
  <si>
    <t>Ruiz Solás, María de la Cabeza</t>
  </si>
  <si>
    <t>Sáez Alonso-Muñumer</t>
  </si>
  <si>
    <t>DIP_2582</t>
  </si>
  <si>
    <t>Sáez Alonso-Muñumer, Pablo</t>
  </si>
  <si>
    <t>Emilio</t>
  </si>
  <si>
    <t>Sáez Cruz</t>
  </si>
  <si>
    <t>DIP_2583</t>
  </si>
  <si>
    <t>Sáez Cruz, Emilio</t>
  </si>
  <si>
    <t>Idoia</t>
  </si>
  <si>
    <t>Sagastizabal Unzetabarrenetxea</t>
  </si>
  <si>
    <t>DIP_2587</t>
  </si>
  <si>
    <t>Sagastizabal Unzetabarrenetxea, Idoia</t>
  </si>
  <si>
    <t>Luis Carlos</t>
  </si>
  <si>
    <t>Sahuquillo García</t>
  </si>
  <si>
    <t>DIP_2588</t>
  </si>
  <si>
    <t>Sahuquillo García, Luis Carlos</t>
  </si>
  <si>
    <t>Sainz Martín</t>
  </si>
  <si>
    <t>DIP_2591</t>
  </si>
  <si>
    <t>Sainz Martín, María</t>
  </si>
  <si>
    <t>Salazar Rodríguez</t>
  </si>
  <si>
    <t>DIP_2596</t>
  </si>
  <si>
    <t>Salazar Rodríguez, Francisco José</t>
  </si>
  <si>
    <t>Jordi</t>
  </si>
  <si>
    <t>Salvador i Duch</t>
  </si>
  <si>
    <t>DIP_2606</t>
  </si>
  <si>
    <t>Salvador i Duch, Jordi</t>
  </si>
  <si>
    <t>Sánchez Díaz</t>
  </si>
  <si>
    <t>DIP_2620</t>
  </si>
  <si>
    <t>Sánchez Díaz, María Carmen</t>
  </si>
  <si>
    <t>Sánchez García</t>
  </si>
  <si>
    <t>DIP_2628</t>
  </si>
  <si>
    <t>Sánchez García, José María</t>
  </si>
  <si>
    <t>Sánchez Jiménez</t>
  </si>
  <si>
    <t>DIP_2632</t>
  </si>
  <si>
    <t>Sánchez Jiménez, Raquel</t>
  </si>
  <si>
    <t>Carlos Alberto</t>
  </si>
  <si>
    <t>Sánchez Ojeda</t>
  </si>
  <si>
    <t>DIP_2640</t>
  </si>
  <si>
    <t>Sánchez Ojeda, Carlos Alberto</t>
  </si>
  <si>
    <t>César</t>
  </si>
  <si>
    <t>Sánchez Pérez</t>
  </si>
  <si>
    <t>DIP_2641</t>
  </si>
  <si>
    <t>Sánchez Pérez, César</t>
  </si>
  <si>
    <t>Sánchez Pérez-Castejón</t>
  </si>
  <si>
    <t>DIP_2642</t>
  </si>
  <si>
    <t>Sánchez Pérez-Castejón, Pedro</t>
  </si>
  <si>
    <t>Sánchez Serna</t>
  </si>
  <si>
    <t>DIP_2649</t>
  </si>
  <si>
    <t>Sánchez Serna, Javier</t>
  </si>
  <si>
    <t>Sánchez Sierra</t>
  </si>
  <si>
    <t>DIP_2650</t>
  </si>
  <si>
    <t>Sánchez Sierra, María del Mar</t>
  </si>
  <si>
    <t>Sánchez Torregrosa</t>
  </si>
  <si>
    <t>DIP_2652</t>
  </si>
  <si>
    <t>Sánchez Torregrosa, Maribel</t>
  </si>
  <si>
    <t>Herminio Rufino</t>
  </si>
  <si>
    <t>Sancho Íñiguez</t>
  </si>
  <si>
    <t>DIP_2658</t>
  </si>
  <si>
    <t>Sancho Íñiguez, Herminio Rufino</t>
  </si>
  <si>
    <t>Ada</t>
  </si>
  <si>
    <t>Santana Aguilera</t>
  </si>
  <si>
    <t>DIP_2668</t>
  </si>
  <si>
    <t>Santana Aguilera, Ada</t>
  </si>
  <si>
    <t>Noemí</t>
  </si>
  <si>
    <t>Santana Perera</t>
  </si>
  <si>
    <t>DIP_2670</t>
  </si>
  <si>
    <t>Santana Perera, Noemí</t>
  </si>
  <si>
    <t>Enrique Fernando</t>
  </si>
  <si>
    <t>Santiago Romero</t>
  </si>
  <si>
    <t>DIP_2671</t>
  </si>
  <si>
    <t>Santiago Romero, Enrique Fernando</t>
  </si>
  <si>
    <t>Santos Maraver</t>
  </si>
  <si>
    <t>DIP_2677</t>
  </si>
  <si>
    <t>Santos Maraver, Agustín</t>
  </si>
  <si>
    <t>Luisa</t>
  </si>
  <si>
    <t>Sanz Martínez</t>
  </si>
  <si>
    <t>DIP_2687</t>
  </si>
  <si>
    <t>Sanz Martínez, Luisa</t>
  </si>
  <si>
    <t>Vicent Manuel</t>
  </si>
  <si>
    <t>Sarrià Morell</t>
  </si>
  <si>
    <t>DIP_2693</t>
  </si>
  <si>
    <t>Sarrià Morell, Vicent Manuel</t>
  </si>
  <si>
    <t>Sastre Uyá</t>
  </si>
  <si>
    <t>DIP_2695</t>
  </si>
  <si>
    <t>Sastre Uyá, Miguel Ángel</t>
  </si>
  <si>
    <t>Sayas López</t>
  </si>
  <si>
    <t>DIP_2700</t>
  </si>
  <si>
    <t>Sayas López, Sergio</t>
  </si>
  <si>
    <t>Borja</t>
  </si>
  <si>
    <t>Sémper Pascual</t>
  </si>
  <si>
    <t>DIP_2714</t>
  </si>
  <si>
    <t>Sémper Pascual, Borja</t>
  </si>
  <si>
    <t>Senderos Oraá</t>
  </si>
  <si>
    <t>DIP_2717</t>
  </si>
  <si>
    <t>Senderos Oraá, Daniel</t>
  </si>
  <si>
    <t>Serrada Pariente</t>
  </si>
  <si>
    <t>DIP_2724</t>
  </si>
  <si>
    <t>Serrada Pariente, David</t>
  </si>
  <si>
    <t>Juan Francisco</t>
  </si>
  <si>
    <t>Serrano Martínez</t>
  </si>
  <si>
    <t>DIP_2733</t>
  </si>
  <si>
    <t>Serrano Martínez, Juan Francisco</t>
  </si>
  <si>
    <t>Sierra Caballero</t>
  </si>
  <si>
    <t>DIP_2741</t>
  </si>
  <si>
    <t>Sierra Caballero, Francisco</t>
  </si>
  <si>
    <t>Simancas Simancas</t>
  </si>
  <si>
    <t>DIP_2749</t>
  </si>
  <si>
    <t>Simancas Simancas, Rafael</t>
  </si>
  <si>
    <t>Simarro Vicens</t>
  </si>
  <si>
    <t>DIP_2750</t>
  </si>
  <si>
    <t>Simarro Vicens, Carlos</t>
  </si>
  <si>
    <t>Alba</t>
  </si>
  <si>
    <t>Soldevilla Novials</t>
  </si>
  <si>
    <t>DIP_2768</t>
  </si>
  <si>
    <t>Soldevilla Novials, Alba</t>
  </si>
  <si>
    <t>Alejandro</t>
  </si>
  <si>
    <t>Soler Mur</t>
  </si>
  <si>
    <t>DIP_2771</t>
  </si>
  <si>
    <t>Soler Mur, Alejandro</t>
  </si>
  <si>
    <t>Sumelzo Jordán</t>
  </si>
  <si>
    <t>DIP_2806</t>
  </si>
  <si>
    <t>Sumelzo Jordán, Susana</t>
  </si>
  <si>
    <t>Obdulia</t>
  </si>
  <si>
    <t>Taboadela Álvarez</t>
  </si>
  <si>
    <t>DIP_2810</t>
  </si>
  <si>
    <t>Taboadela Álvarez, Obdulia</t>
  </si>
  <si>
    <t>Tarno Blanco</t>
  </si>
  <si>
    <t>DIP_2816</t>
  </si>
  <si>
    <t>Tarno Blanco, Ricardo</t>
  </si>
  <si>
    <t>Miguel</t>
  </si>
  <si>
    <t>Tellado Filgueira</t>
  </si>
  <si>
    <t>DIP_2827</t>
  </si>
  <si>
    <t>Tellado Filgueira, Miguel</t>
  </si>
  <si>
    <t>Teniente Sánchez</t>
  </si>
  <si>
    <t>DIP_2829</t>
  </si>
  <si>
    <t>Teniente Sánchez, Cristina</t>
  </si>
  <si>
    <t>Tolón Jaime</t>
  </si>
  <si>
    <t>DIP_2838</t>
  </si>
  <si>
    <t>Tolón Jaime, Milagros</t>
  </si>
  <si>
    <t>Violante</t>
  </si>
  <si>
    <t>Tomás Olivares</t>
  </si>
  <si>
    <t>DIP_2840</t>
  </si>
  <si>
    <t>Tomás Olivares, Violante</t>
  </si>
  <si>
    <t>Torres Tejada</t>
  </si>
  <si>
    <t>DIP_2861</t>
  </si>
  <si>
    <t>Torres Tejada, María</t>
  </si>
  <si>
    <t>Carla</t>
  </si>
  <si>
    <t>Toscano de Balbín</t>
  </si>
  <si>
    <t>DIP_2865</t>
  </si>
  <si>
    <t>Toscano de Balbín, Carla</t>
  </si>
  <si>
    <t>Trenzano Rubio</t>
  </si>
  <si>
    <t>DIP_2867</t>
  </si>
  <si>
    <t>Trenzano Rubio, Marta</t>
  </si>
  <si>
    <t>Edurne</t>
  </si>
  <si>
    <t>Uriarte Bengoechea</t>
  </si>
  <si>
    <t>DIP_2901</t>
  </si>
  <si>
    <t>Uriarte Bengoechea, Edurne</t>
  </si>
  <si>
    <t>Valero Morales</t>
  </si>
  <si>
    <t>DIP_2918</t>
  </si>
  <si>
    <t>Valero Morales, Juan Antonio</t>
  </si>
  <si>
    <t>Valido García</t>
  </si>
  <si>
    <t>DIP_2919</t>
  </si>
  <si>
    <t>Valido García, Cristina</t>
  </si>
  <si>
    <t>COALICIÓN CANARIA</t>
  </si>
  <si>
    <t>Vallugera Balañà</t>
  </si>
  <si>
    <t>DIP_2931</t>
  </si>
  <si>
    <t>Vallugera Balañà, Pilar</t>
  </si>
  <si>
    <t>Vaquero Montero</t>
  </si>
  <si>
    <t>DIP_2936</t>
  </si>
  <si>
    <t>Vaquero Montero, Maribel</t>
  </si>
  <si>
    <t>Varela Pazos</t>
  </si>
  <si>
    <t>DIP_2939</t>
  </si>
  <si>
    <t>Varela Pazos, Marta</t>
  </si>
  <si>
    <t>Ana Belén</t>
  </si>
  <si>
    <t>Vázquez Blanco</t>
  </si>
  <si>
    <t>DIP_2944</t>
  </si>
  <si>
    <t>Vázquez Blanco, Ana Belén</t>
  </si>
  <si>
    <t>Vázquez Jiménez</t>
  </si>
  <si>
    <t>DIP_2950</t>
  </si>
  <si>
    <t>Vázquez Jiménez, María del Mar</t>
  </si>
  <si>
    <t>Vázquez Vega</t>
  </si>
  <si>
    <t>DIP_2959</t>
  </si>
  <si>
    <t>Vázquez Vega, Pablo</t>
  </si>
  <si>
    <t>María Elisa</t>
  </si>
  <si>
    <t>Vedrina Conesa</t>
  </si>
  <si>
    <t>DIP_2960</t>
  </si>
  <si>
    <t>Vedrina Conesa, María Elisa</t>
  </si>
  <si>
    <t>Martina</t>
  </si>
  <si>
    <t>Velarde Gómez</t>
  </si>
  <si>
    <t>DIP_2967</t>
  </si>
  <si>
    <t>Velarde Gómez, Martina</t>
  </si>
  <si>
    <t>Elvira</t>
  </si>
  <si>
    <t>Velasco Morillo</t>
  </si>
  <si>
    <t>DIP_2971</t>
  </si>
  <si>
    <t>Velasco Morillo, Elvira</t>
  </si>
  <si>
    <t>Velasco Retamosa</t>
  </si>
  <si>
    <t>DIP_2973</t>
  </si>
  <si>
    <t>Velasco Retamosa, José Manuel</t>
  </si>
  <si>
    <t>Bella</t>
  </si>
  <si>
    <t>Verano Domínguez</t>
  </si>
  <si>
    <t>DIP_2981</t>
  </si>
  <si>
    <t>Verano Domínguez, Bella</t>
  </si>
  <si>
    <t>Ferran</t>
  </si>
  <si>
    <t>Verdejo Vicente</t>
  </si>
  <si>
    <t>DIP_2984</t>
  </si>
  <si>
    <t>Verdejo Vicente, Ferran</t>
  </si>
  <si>
    <t>Laura</t>
  </si>
  <si>
    <t>Vergara Román</t>
  </si>
  <si>
    <t>DIP_2986</t>
  </si>
  <si>
    <t>Vergara Román, Laura</t>
  </si>
  <si>
    <t>Lilith</t>
  </si>
  <si>
    <t>Verstrynge Revuelta</t>
  </si>
  <si>
    <t>DIP_2987</t>
  </si>
  <si>
    <t>Verstrynge Revuelta, Lilith</t>
  </si>
  <si>
    <t>Vicenç</t>
  </si>
  <si>
    <t>Vidal Matas</t>
  </si>
  <si>
    <t>DIP_2997</t>
  </si>
  <si>
    <t>Vidal Matas, Vicenç</t>
  </si>
  <si>
    <t>Aina</t>
  </si>
  <si>
    <t>Vidal Sáez</t>
  </si>
  <si>
    <t>DIP_2999</t>
  </si>
  <si>
    <t>Vidal Sáez, Aina</t>
  </si>
  <si>
    <t>Zaragoza Alonso</t>
  </si>
  <si>
    <t>DIP_3051</t>
  </si>
  <si>
    <t>Zaragoza Alonso, José</t>
  </si>
  <si>
    <t>Diputado</t>
  </si>
  <si>
    <t>Presidente del Gobierno</t>
  </si>
  <si>
    <t>Ministro</t>
  </si>
  <si>
    <t>ID_DIPUTADO</t>
  </si>
  <si>
    <t>NOMBRE_DIPUTADOS</t>
  </si>
  <si>
    <t>AÑO_INICIO_CARGO</t>
  </si>
  <si>
    <t>AÑO_FIN_CARGO</t>
  </si>
  <si>
    <t>GRUPO_PARLAMENTARIO</t>
  </si>
  <si>
    <t>PARTIDO_POLITICO</t>
  </si>
  <si>
    <t>TIPO_CARGO</t>
  </si>
  <si>
    <t>NIVEL_CARGO</t>
  </si>
  <si>
    <t>Presidencia</t>
  </si>
  <si>
    <t>ACTIVO</t>
  </si>
  <si>
    <t>Ministerio de Economía, Comercio y Empresa</t>
  </si>
  <si>
    <t>APELLIDOS_DIPUTADOS</t>
  </si>
  <si>
    <t>Calviño Santamaría</t>
  </si>
  <si>
    <t>Cuerpo Caballero</t>
  </si>
  <si>
    <t>Aagesen Muñoz</t>
  </si>
  <si>
    <t>España García</t>
  </si>
  <si>
    <t>Hereu i Boher</t>
  </si>
  <si>
    <t>García Gómez</t>
  </si>
  <si>
    <t>Urtasun i Domènech</t>
  </si>
  <si>
    <t>Torres Pérez</t>
  </si>
  <si>
    <t>Bustinduy Amador</t>
  </si>
  <si>
    <t>Redondo García</t>
  </si>
  <si>
    <t>Saiz Delgado</t>
  </si>
  <si>
    <t>Escrivá Belmonte</t>
  </si>
  <si>
    <t>Abed Rego</t>
  </si>
  <si>
    <t>NOMBRE_DIPUTADO</t>
  </si>
  <si>
    <t>Arcadi</t>
  </si>
  <si>
    <t>Sara</t>
  </si>
  <si>
    <t>Nadia</t>
  </si>
  <si>
    <t>Elma</t>
  </si>
  <si>
    <t>Mónica</t>
  </si>
  <si>
    <t>Ángel Victor</t>
  </si>
  <si>
    <t>Ernest</t>
  </si>
  <si>
    <t>Sira</t>
  </si>
  <si>
    <t>Calviño Santamaría, Nadia</t>
  </si>
  <si>
    <t>Cuerpo Caballero, Carlos</t>
  </si>
  <si>
    <t>Aagesen Muñoz, Sara</t>
  </si>
  <si>
    <t>España García, Arcadi</t>
  </si>
  <si>
    <t>Hereu i Boher, Jordi</t>
  </si>
  <si>
    <t>García Gómez, Mónica</t>
  </si>
  <si>
    <t>Urtasun i Domènech, Ernest</t>
  </si>
  <si>
    <t>Torres Pérez, Ángel Victor</t>
  </si>
  <si>
    <t>Bustinduy Amador, Pablo</t>
  </si>
  <si>
    <t>Redondo García, Ana</t>
  </si>
  <si>
    <t>Saiz Delgado, Elma</t>
  </si>
  <si>
    <t>Escrivá Belmonte, José Luis</t>
  </si>
  <si>
    <t>Abed Rego, Sira</t>
  </si>
  <si>
    <t>Ministerio de Hacienda</t>
  </si>
  <si>
    <t>Ministerio de Asuntos Exteriores, Unión Europea y Cooperación</t>
  </si>
  <si>
    <t>Ministerio de Presidencia, Justicia y Relaciones con las Cortes</t>
  </si>
  <si>
    <t>Ministerio de Defensa</t>
  </si>
  <si>
    <t>Ministerio del Interior</t>
  </si>
  <si>
    <t>Ministerio de Transportes y Movilidad Sostenible</t>
  </si>
  <si>
    <t>Ministerio de Eduación, Formación Profesional y Deportes</t>
  </si>
  <si>
    <t>Ministerio de Trabajo y Economía Social</t>
  </si>
  <si>
    <t>Ministerio de Industria y Turismo</t>
  </si>
  <si>
    <t>Ministerio de Agricultura, Pesca y Alimentación</t>
  </si>
  <si>
    <t>SEXO</t>
  </si>
  <si>
    <t>M</t>
  </si>
  <si>
    <t>F</t>
  </si>
  <si>
    <t>Ministerio de Sanidad</t>
  </si>
  <si>
    <t>Ministerio de Vivienda y Agenda Urbana</t>
  </si>
  <si>
    <t>Ministerio de Política Territorial y Memória Democrática</t>
  </si>
  <si>
    <t>Ministerio de Cultura</t>
  </si>
  <si>
    <t>Ministerio de Juventud e Infancia</t>
  </si>
  <si>
    <t>Ministerio de Transformación Digital</t>
  </si>
  <si>
    <t>Ministerio de Inclusión, Seguridad Social y Migraciones</t>
  </si>
  <si>
    <t>Ministerio de Igualdad</t>
  </si>
  <si>
    <t>Ministerio de Derechos Sociales, Consumo y Agenda 2030</t>
  </si>
  <si>
    <t>Ministerio de Ciencia, Innovación y Universidades</t>
  </si>
  <si>
    <t>Ministerio de Transición Ecológica y Reto Demográfico</t>
  </si>
  <si>
    <t>Izquierda Unida</t>
  </si>
  <si>
    <t>Comunes</t>
  </si>
  <si>
    <t>Más Madrid</t>
  </si>
  <si>
    <t>Independiente</t>
  </si>
  <si>
    <t>ÓRGANO</t>
  </si>
  <si>
    <t>Ejecutivo</t>
  </si>
  <si>
    <t>Legislativo</t>
  </si>
  <si>
    <t>Presidenta del Congreso de los Diputados</t>
  </si>
  <si>
    <t>Vicepresidencia</t>
  </si>
  <si>
    <t>Secretaría</t>
  </si>
  <si>
    <t>Vicepresidente Primero del Congreso de los Diputados</t>
  </si>
  <si>
    <t>Vicepresidente Segundo del Congreso de los Diputados</t>
  </si>
  <si>
    <t>Vicepresidente Tercero del Congreso de los Diputados</t>
  </si>
  <si>
    <t>Vicepresidente Cuarto del Congreso de los Diputados</t>
  </si>
  <si>
    <t>Secretario Primero del Congreso de los Diputados</t>
  </si>
  <si>
    <t>Secretaria Segunda del Congreso de los Diputados</t>
  </si>
  <si>
    <t>Secretario Tercero del Congreso de los Diputados</t>
  </si>
  <si>
    <t>Secretaria Cuarta del Congreso de los Diputados</t>
  </si>
  <si>
    <t>INDEP_01</t>
  </si>
  <si>
    <t>INDEP_02</t>
  </si>
  <si>
    <t>INDEP_03</t>
  </si>
  <si>
    <t>INDEP_04</t>
  </si>
  <si>
    <t>INDEP_05</t>
  </si>
  <si>
    <t>INDEP_06</t>
  </si>
  <si>
    <t>INDEP_07</t>
  </si>
  <si>
    <t>INDEP_08</t>
  </si>
  <si>
    <t>INDEP_09</t>
  </si>
  <si>
    <t>INDEP_10</t>
  </si>
  <si>
    <t>INDEP_11</t>
  </si>
  <si>
    <t>INDEP_12</t>
  </si>
  <si>
    <t>INDEP_13</t>
  </si>
  <si>
    <t>SUSTITUIDO_POR</t>
  </si>
  <si>
    <t>SUSTITUYE_A</t>
  </si>
  <si>
    <t>No circunscripción</t>
  </si>
  <si>
    <t>Hemiciclo</t>
  </si>
  <si>
    <t>COORD_X</t>
  </si>
  <si>
    <t>COORD_Y</t>
  </si>
  <si>
    <t>Congreso</t>
  </si>
  <si>
    <t>Mesa de Congreso</t>
  </si>
  <si>
    <t>Gobierno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</si>
</sst>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Aptos Narrow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14" fontId="3" fillId="0" borderId="0" xfId="0" applyNumberFormat="1" applyFont="1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8" fontId="3" fillId="0" borderId="0" xfId="0" applyNumberFormat="1" applyFont="1"/>
    <xf numFmtId="0" fontId="2" fillId="2" borderId="1" xfId="0" applyFont="1" applyFill="1" applyBorder="1" applyAlignment="1">
      <alignment horizontal="center" vertical="top"/>
    </xf>
    <xf numFmtId="14" fontId="3" fillId="0" borderId="0" xfId="0" quotePrefix="1" applyNumberFormat="1" applyFont="1"/>
    <xf numFmtId="2" fontId="3" fillId="0" borderId="0" xfId="0" applyNumberFormat="1" applyFont="1"/>
    <xf numFmtId="2" fontId="2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14CB68-0E31-41CF-9460-BC4F35C27B7E}" name="Tabla1" displayName="Tabla1" ref="A1:X422" totalsRowShown="0" headerRowDxfId="30" dataDxfId="28" headerRowBorderDxfId="29" tableBorderDxfId="27">
  <autoFilter ref="A1:X422" xr:uid="{9014CB68-0E31-41CF-9460-BC4F35C27B7E}"/>
  <sortState xmlns:xlrd2="http://schemas.microsoft.com/office/spreadsheetml/2017/richdata2" ref="A2:X422">
    <sortCondition ref="E1:E422"/>
  </sortState>
  <tableColumns count="24">
    <tableColumn id="1" xr3:uid="{247E5BD2-897B-424F-8E6A-DDF760379E40}" name="NOMBRE"/>
    <tableColumn id="2" xr3:uid="{F189AE27-B6C1-4461-82F8-7F7ACB25FCF7}" name="APELLIDOS"/>
    <tableColumn id="3" xr3:uid="{E70E3907-2BF1-4503-80A1-D34E1ED70930}" name="ID_DIPUTADOS" dataDxfId="26"/>
    <tableColumn id="13" xr3:uid="{F4A445CB-51ED-41DD-A8FF-5D7C6A5210C3}" name="SEXO" dataDxfId="25"/>
    <tableColumn id="4" xr3:uid="{53BFFC66-6687-4C4F-8E1B-27E56AB756F0}" name="DIPUTADOS" dataDxfId="24"/>
    <tableColumn id="24" xr3:uid="{2F838918-90C5-4286-BD1A-AB279E683B80}" name="ÓRGANO" dataDxfId="0"/>
    <tableColumn id="19" xr3:uid="{9C5185D7-D1C3-4529-951E-D30BDC863313}" name="CARGO" dataDxfId="23"/>
    <tableColumn id="5" xr3:uid="{1E800834-76D8-4CAF-A3BB-46CBA23261A7}" name="CIRCUNSCRIPCIÓN" dataDxfId="22"/>
    <tableColumn id="6" xr3:uid="{20381444-C31E-41C6-8CBB-49457A1B02F0}" name="LEGISLATURA" dataDxfId="21"/>
    <tableColumn id="7" xr3:uid="{47C6F394-AC79-4E7D-BE5E-41F438356714}" name="GRUPO_PARLAMENTARIO_INICIAL" dataDxfId="20"/>
    <tableColumn id="8" xr3:uid="{3B1F5187-7F4B-4184-BEA0-70812CA1EC40}" name="PARTIDO_POLITICO_ACTUAL" dataDxfId="19"/>
    <tableColumn id="9" xr3:uid="{DCDE00F2-4213-42A3-9BF5-E47AAA5679FD}" name="GRUPO_PARLAMENTARIO_ACTUAL" dataDxfId="18"/>
    <tableColumn id="10" xr3:uid="{029C9D44-78ED-4C2A-BB53-A4A11D0526AA}" name="FECHA_INICIO_LEGISLATURA" dataDxfId="17"/>
    <tableColumn id="11" xr3:uid="{40C68669-2615-4857-9625-ACC8A2974D36}" name="FECHA_FIN_LEGISLATURA" dataDxfId="16"/>
    <tableColumn id="20" xr3:uid="{8E3FC700-0B80-4EC1-B85F-DF16C0402F9F}" name="SUSTITUYE_A" dataDxfId="15"/>
    <tableColumn id="21" xr3:uid="{0757E27B-F4B0-4E61-B590-BD6B2BC19210}" name="SUSTITUIDO_POR" dataDxfId="14"/>
    <tableColumn id="12" xr3:uid="{D860E501-94AA-4535-8848-2ED6F1A8A208}" name="ACTIVO" dataDxfId="13"/>
    <tableColumn id="14" xr3:uid="{59D6F334-B6D4-47CE-89DB-CE377FE3DA34}" name="SALARIO_BRUTO_ANUAL" dataDxfId="12"/>
    <tableColumn id="15" xr3:uid="{58A6067E-9E32-4B7C-91BC-37D651CEA0E9}" name="SALARIO_BRUTO_MENSUAL" dataDxfId="11"/>
    <tableColumn id="16" xr3:uid="{6602515A-E20F-4904-B78D-2FF8E3318FDF}" name="SALARIO_BASE" dataDxfId="10"/>
    <tableColumn id="17" xr3:uid="{3FA04927-A68F-4101-A303-BF9E4D8438FE}" name="DIETAS" dataDxfId="9"/>
    <tableColumn id="18" xr3:uid="{EF1CD497-C0DA-4E1A-AC13-A2D486D53049}" name="SUPLEMENTOS" dataDxfId="8"/>
    <tableColumn id="22" xr3:uid="{D6109AF7-E939-424D-9E14-64A8B667A8C7}" name="COORD_X" dataDxfId="7"/>
    <tableColumn id="23" xr3:uid="{5D7655B7-86EF-46E6-8ECF-55F637D50AE2}" name="COORD_Y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517BF4-08E5-475A-8C04-A671551402B0}" name="Tabla3" displayName="Tabla3" ref="A1:D422" totalsRowShown="0" headerRowDxfId="5" headerRowBorderDxfId="4" tableBorderDxfId="3">
  <autoFilter ref="A1:D422" xr:uid="{D7517BF4-08E5-475A-8C04-A671551402B0}"/>
  <sortState xmlns:xlrd2="http://schemas.microsoft.com/office/spreadsheetml/2017/richdata2" ref="A2:D422">
    <sortCondition ref="A1:A422"/>
  </sortState>
  <tableColumns count="4">
    <tableColumn id="1" xr3:uid="{57E44424-CC41-4F2A-BFA5-25B48F936667}" name="ID_DIPUTADOS"/>
    <tableColumn id="2" xr3:uid="{A0F4DA70-188F-40BE-BEEA-BE19AB34F101}" name="DIPUTADOS"/>
    <tableColumn id="5" xr3:uid="{5E062B8C-0A59-42A9-B564-F1E0088EF18A}" name="GRUPO_PARLAMENTARIO_INICIAL"/>
    <tableColumn id="10" xr3:uid="{97003A76-19F7-465D-A399-9DB85284ED2D}" name="ACTIV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96EA62-6081-4A5C-A555-F4B5A9ED31C7}" name="Tabla2" displayName="Tabla2" ref="A1:M38" totalsRowShown="0">
  <autoFilter ref="A1:M38" xr:uid="{B796EA62-6081-4A5C-A555-F4B5A9ED31C7}"/>
  <sortState xmlns:xlrd2="http://schemas.microsoft.com/office/spreadsheetml/2017/richdata2" ref="A2:M38">
    <sortCondition ref="A1:A38"/>
  </sortState>
  <tableColumns count="13">
    <tableColumn id="1" xr3:uid="{349ED3A7-2DDF-4BBD-BB0F-73BE58CA4257}" name="ID_DIPUTADO"/>
    <tableColumn id="2" xr3:uid="{EDC50E9D-26E1-41A6-B45F-9CBEC28FC157}" name="SEXO"/>
    <tableColumn id="3" xr3:uid="{6C963BDB-DDB3-439B-8898-FF51DD1278C5}" name="APELLIDOS_DIPUTADOS"/>
    <tableColumn id="4" xr3:uid="{DBF10CA2-30BC-4C67-B172-8B90C87F2DBC}" name="NOMBRE_DIPUTADO"/>
    <tableColumn id="5" xr3:uid="{BF763081-33F8-4C52-B766-8CB555BB2154}" name="NOMBRE_DIPUTADOS"/>
    <tableColumn id="13" xr3:uid="{30D1C0CE-4558-4F21-B94F-1824712C88E0}" name="ÓRGANO"/>
    <tableColumn id="6" xr3:uid="{2B07144A-5A70-4545-B0C0-BB4BF844F767}" name="NIVEL_CARGO"/>
    <tableColumn id="7" xr3:uid="{D8BEC921-8EAC-4A69-8B14-6B45DB6607E2}" name="TIPO_CARGO"/>
    <tableColumn id="8" xr3:uid="{6E046D94-36A1-445F-AE02-54AC938272F3}" name="ACTIVO"/>
    <tableColumn id="9" xr3:uid="{C88CB397-9218-483D-A82C-DC95F0D778E5}" name="AÑO_INICIO_CARGO" dataDxfId="2"/>
    <tableColumn id="10" xr3:uid="{77E162A9-69D8-453C-93C1-9937FB3822EA}" name="AÑO_FIN_CARGO"/>
    <tableColumn id="11" xr3:uid="{C6A044DE-D586-428E-8C9A-23F49E00C4BC}" name="PARTIDO_POLITICO"/>
    <tableColumn id="12" xr3:uid="{84208906-08C0-41F7-B257-FFF87C3E9597}" name="GRUPO_PARLAMENTARI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2"/>
  <sheetViews>
    <sheetView tabSelected="1" topLeftCell="C1" zoomScale="80" zoomScaleNormal="80" workbookViewId="0">
      <selection activeCell="F2" sqref="F2"/>
    </sheetView>
  </sheetViews>
  <sheetFormatPr baseColWidth="10" defaultColWidth="9.140625" defaultRowHeight="15" x14ac:dyDescent="0.25"/>
  <cols>
    <col min="1" max="1" width="23.7109375" hidden="1" customWidth="1"/>
    <col min="2" max="2" width="34.140625" hidden="1" customWidth="1"/>
    <col min="3" max="3" width="20.28515625" bestFit="1" customWidth="1"/>
    <col min="4" max="4" width="11.5703125" hidden="1" customWidth="1"/>
    <col min="5" max="5" width="41.85546875" bestFit="1" customWidth="1"/>
    <col min="6" max="6" width="41.85546875" customWidth="1"/>
    <col min="7" max="7" width="57.28515625" bestFit="1" customWidth="1"/>
    <col min="8" max="8" width="24.85546875" bestFit="1" customWidth="1"/>
    <col min="9" max="9" width="19.140625" bestFit="1" customWidth="1"/>
    <col min="10" max="10" width="39.28515625" bestFit="1" customWidth="1"/>
    <col min="11" max="11" width="32.85546875" bestFit="1" customWidth="1"/>
    <col min="12" max="12" width="39.28515625" bestFit="1" customWidth="1"/>
    <col min="13" max="13" width="33.42578125" style="3" bestFit="1" customWidth="1"/>
    <col min="14" max="14" width="30.5703125" style="3" bestFit="1" customWidth="1"/>
    <col min="15" max="15" width="18.140625" style="3" bestFit="1" customWidth="1"/>
    <col min="16" max="16" width="22.140625" style="3" bestFit="1" customWidth="1"/>
    <col min="17" max="17" width="13.7109375" bestFit="1" customWidth="1"/>
    <col min="18" max="18" width="29.28515625" bestFit="1" customWidth="1"/>
    <col min="19" max="19" width="31.7109375" bestFit="1" customWidth="1"/>
    <col min="20" max="20" width="20.28515625" bestFit="1" customWidth="1"/>
    <col min="21" max="21" width="13.140625" bestFit="1" customWidth="1"/>
    <col min="22" max="22" width="20.140625" bestFit="1" customWidth="1"/>
    <col min="23" max="23" width="20.85546875" bestFit="1" customWidth="1"/>
    <col min="24" max="24" width="15.85546875" style="12" bestFit="1" customWidth="1"/>
  </cols>
  <sheetData>
    <row r="1" spans="1:24" x14ac:dyDescent="0.25">
      <c r="A1" s="4" t="s">
        <v>0</v>
      </c>
      <c r="B1" s="4" t="s">
        <v>1</v>
      </c>
      <c r="C1" s="5" t="s">
        <v>2</v>
      </c>
      <c r="D1" s="5" t="s">
        <v>1645</v>
      </c>
      <c r="E1" s="5" t="s">
        <v>3</v>
      </c>
      <c r="F1" s="5" t="s">
        <v>1663</v>
      </c>
      <c r="G1" s="5" t="s">
        <v>11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6" t="s">
        <v>9</v>
      </c>
      <c r="N1" s="6" t="s">
        <v>10</v>
      </c>
      <c r="O1" s="6" t="s">
        <v>1691</v>
      </c>
      <c r="P1" s="6" t="s">
        <v>1690</v>
      </c>
      <c r="Q1" s="5" t="s">
        <v>1597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1694</v>
      </c>
      <c r="X1" s="11" t="s">
        <v>1695</v>
      </c>
    </row>
    <row r="2" spans="1:24" x14ac:dyDescent="0.25">
      <c r="C2" s="1" t="s">
        <v>1679</v>
      </c>
      <c r="D2" s="1" t="s">
        <v>1647</v>
      </c>
      <c r="E2" s="1" t="s">
        <v>1624</v>
      </c>
      <c r="F2" s="1" t="s">
        <v>1698</v>
      </c>
      <c r="G2" s="1" t="s">
        <v>1658</v>
      </c>
      <c r="H2" s="1" t="s">
        <v>1692</v>
      </c>
      <c r="I2" s="1" t="s">
        <v>22</v>
      </c>
      <c r="J2" s="1" t="s">
        <v>1662</v>
      </c>
      <c r="K2" s="1" t="s">
        <v>1662</v>
      </c>
      <c r="L2" s="1" t="s">
        <v>1693</v>
      </c>
      <c r="M2" s="2">
        <v>45155</v>
      </c>
      <c r="N2" s="2" t="s">
        <v>25</v>
      </c>
      <c r="O2" s="1" t="s">
        <v>1258</v>
      </c>
      <c r="P2" s="2" t="s">
        <v>25</v>
      </c>
      <c r="Q2" s="1" t="s">
        <v>26</v>
      </c>
      <c r="R2" s="7">
        <v>90175.25</v>
      </c>
      <c r="S2" s="7">
        <v>7514.6</v>
      </c>
      <c r="T2" s="7">
        <v>7514.6</v>
      </c>
      <c r="U2" s="7">
        <v>0</v>
      </c>
      <c r="V2" s="7">
        <v>0</v>
      </c>
      <c r="W2" s="10">
        <v>170.14930000000001</v>
      </c>
      <c r="X2" s="10">
        <v>238.24940000000001</v>
      </c>
    </row>
    <row r="3" spans="1:24" x14ac:dyDescent="0.25">
      <c r="A3" t="s">
        <v>17</v>
      </c>
      <c r="B3" t="s">
        <v>18</v>
      </c>
      <c r="C3" s="1" t="s">
        <v>19</v>
      </c>
      <c r="D3" s="1" t="s">
        <v>1647</v>
      </c>
      <c r="E3" s="1" t="s">
        <v>20</v>
      </c>
      <c r="F3" s="1" t="s">
        <v>1696</v>
      </c>
      <c r="G3" s="1" t="s">
        <v>1585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23</v>
      </c>
      <c r="M3" s="2">
        <v>45155</v>
      </c>
      <c r="N3" s="2" t="s">
        <v>25</v>
      </c>
      <c r="O3" s="2" t="s">
        <v>25</v>
      </c>
      <c r="P3" s="2" t="s">
        <v>25</v>
      </c>
      <c r="Q3" s="1" t="s">
        <v>26</v>
      </c>
      <c r="R3" s="7">
        <v>94946.32</v>
      </c>
      <c r="S3" s="7">
        <v>6781.88</v>
      </c>
      <c r="T3" s="7">
        <v>3366.99</v>
      </c>
      <c r="U3" s="7">
        <v>2162.85</v>
      </c>
      <c r="V3" s="7">
        <v>1252.04</v>
      </c>
      <c r="W3" s="10">
        <v>351.94029999999998</v>
      </c>
      <c r="X3" s="10">
        <v>52.844799999999999</v>
      </c>
    </row>
    <row r="4" spans="1:24" x14ac:dyDescent="0.25">
      <c r="A4" t="s">
        <v>27</v>
      </c>
      <c r="B4" t="s">
        <v>28</v>
      </c>
      <c r="C4" s="1" t="s">
        <v>29</v>
      </c>
      <c r="D4" s="1" t="s">
        <v>1646</v>
      </c>
      <c r="E4" s="1" t="s">
        <v>30</v>
      </c>
      <c r="F4" s="1" t="s">
        <v>1696</v>
      </c>
      <c r="G4" s="1" t="s">
        <v>1585</v>
      </c>
      <c r="H4" s="1" t="s">
        <v>31</v>
      </c>
      <c r="I4" s="1" t="s">
        <v>22</v>
      </c>
      <c r="J4" s="1" t="s">
        <v>32</v>
      </c>
      <c r="K4" s="1" t="s">
        <v>33</v>
      </c>
      <c r="L4" s="1" t="s">
        <v>34</v>
      </c>
      <c r="M4" s="2">
        <v>45155</v>
      </c>
      <c r="N4" s="2">
        <v>46050</v>
      </c>
      <c r="O4" s="2" t="s">
        <v>25</v>
      </c>
      <c r="P4" s="1" t="s">
        <v>657</v>
      </c>
      <c r="Q4" s="1" t="s">
        <v>35</v>
      </c>
      <c r="R4" s="7">
        <v>74413.36</v>
      </c>
      <c r="S4" s="7">
        <v>5315.24</v>
      </c>
      <c r="T4" s="7">
        <v>3236.32</v>
      </c>
      <c r="U4" s="7">
        <v>2078.92</v>
      </c>
      <c r="V4" s="7">
        <v>0</v>
      </c>
      <c r="W4" s="10">
        <v>5.3731</v>
      </c>
      <c r="X4" s="10">
        <v>213.1705</v>
      </c>
    </row>
    <row r="5" spans="1:24" x14ac:dyDescent="0.25">
      <c r="A5" t="s">
        <v>36</v>
      </c>
      <c r="B5" t="s">
        <v>37</v>
      </c>
      <c r="C5" s="1" t="s">
        <v>38</v>
      </c>
      <c r="D5" s="1" t="s">
        <v>1646</v>
      </c>
      <c r="E5" s="1" t="s">
        <v>39</v>
      </c>
      <c r="F5" s="1" t="s">
        <v>1696</v>
      </c>
      <c r="G5" s="1" t="s">
        <v>1585</v>
      </c>
      <c r="H5" s="1" t="s">
        <v>40</v>
      </c>
      <c r="I5" s="1" t="s">
        <v>22</v>
      </c>
      <c r="J5" s="1" t="s">
        <v>41</v>
      </c>
      <c r="K5" s="1" t="s">
        <v>42</v>
      </c>
      <c r="L5" s="1" t="s">
        <v>41</v>
      </c>
      <c r="M5" s="2">
        <v>45155</v>
      </c>
      <c r="N5" s="2" t="s">
        <v>25</v>
      </c>
      <c r="O5" s="2" t="s">
        <v>25</v>
      </c>
      <c r="P5" s="2" t="s">
        <v>25</v>
      </c>
      <c r="Q5" s="1" t="s">
        <v>26</v>
      </c>
      <c r="R5" s="7">
        <v>61591.18</v>
      </c>
      <c r="S5" s="7">
        <v>4399.37</v>
      </c>
      <c r="T5" s="7">
        <v>3366.99</v>
      </c>
      <c r="U5" s="7">
        <v>1032.3800000000001</v>
      </c>
      <c r="V5" s="7">
        <v>0</v>
      </c>
      <c r="W5" s="10">
        <v>312.53730000000002</v>
      </c>
      <c r="X5" s="10">
        <v>171.96950000000001</v>
      </c>
    </row>
    <row r="6" spans="1:24" x14ac:dyDescent="0.25">
      <c r="C6" s="1" t="s">
        <v>1689</v>
      </c>
      <c r="D6" s="1" t="s">
        <v>1647</v>
      </c>
      <c r="E6" s="1" t="s">
        <v>1634</v>
      </c>
      <c r="F6" s="1" t="s">
        <v>1698</v>
      </c>
      <c r="G6" s="1" t="s">
        <v>1652</v>
      </c>
      <c r="H6" s="1" t="s">
        <v>1692</v>
      </c>
      <c r="I6" s="1" t="s">
        <v>22</v>
      </c>
      <c r="J6" s="1" t="s">
        <v>125</v>
      </c>
      <c r="K6" s="1" t="s">
        <v>1659</v>
      </c>
      <c r="L6" s="1" t="s">
        <v>1693</v>
      </c>
      <c r="M6" s="2">
        <v>45155</v>
      </c>
      <c r="N6" s="2" t="s">
        <v>25</v>
      </c>
      <c r="O6" s="2" t="s">
        <v>25</v>
      </c>
      <c r="P6" s="2" t="s">
        <v>25</v>
      </c>
      <c r="Q6" s="1" t="s">
        <v>26</v>
      </c>
      <c r="R6" s="7">
        <v>84650.52</v>
      </c>
      <c r="S6" s="7">
        <v>7054.21</v>
      </c>
      <c r="T6" s="7">
        <v>7054.21</v>
      </c>
      <c r="U6" s="7">
        <v>0</v>
      </c>
      <c r="V6" s="7">
        <v>0</v>
      </c>
      <c r="W6" s="10">
        <v>309.85070000000002</v>
      </c>
      <c r="X6" s="10">
        <v>270.49360000000001</v>
      </c>
    </row>
    <row r="7" spans="1:24" x14ac:dyDescent="0.25">
      <c r="A7" t="s">
        <v>43</v>
      </c>
      <c r="B7" t="s">
        <v>44</v>
      </c>
      <c r="C7" s="1" t="s">
        <v>45</v>
      </c>
      <c r="D7" s="1" t="s">
        <v>1647</v>
      </c>
      <c r="E7" s="1" t="s">
        <v>46</v>
      </c>
      <c r="F7" s="1" t="s">
        <v>1696</v>
      </c>
      <c r="G7" s="1" t="s">
        <v>1585</v>
      </c>
      <c r="H7" s="1" t="s">
        <v>47</v>
      </c>
      <c r="I7" s="1" t="s">
        <v>22</v>
      </c>
      <c r="J7" s="1" t="s">
        <v>23</v>
      </c>
      <c r="K7" s="1" t="s">
        <v>24</v>
      </c>
      <c r="L7" s="1" t="s">
        <v>23</v>
      </c>
      <c r="M7" s="2">
        <v>45155</v>
      </c>
      <c r="N7" s="2" t="s">
        <v>25</v>
      </c>
      <c r="O7" s="2" t="s">
        <v>25</v>
      </c>
      <c r="P7" s="2" t="s">
        <v>25</v>
      </c>
      <c r="Q7" s="1" t="s">
        <v>26</v>
      </c>
      <c r="R7" s="7">
        <v>94946.32</v>
      </c>
      <c r="S7" s="7">
        <v>6781.88</v>
      </c>
      <c r="T7" s="7">
        <v>3366.99</v>
      </c>
      <c r="U7" s="7">
        <v>2162.85</v>
      </c>
      <c r="V7" s="7">
        <v>1252.04</v>
      </c>
      <c r="W7" s="10">
        <v>381.49250000000001</v>
      </c>
      <c r="X7" s="10">
        <v>238.24940000000001</v>
      </c>
    </row>
    <row r="8" spans="1:24" x14ac:dyDescent="0.25">
      <c r="A8" t="s">
        <v>27</v>
      </c>
      <c r="B8" t="s">
        <v>48</v>
      </c>
      <c r="C8" s="1" t="s">
        <v>49</v>
      </c>
      <c r="D8" s="1" t="s">
        <v>1646</v>
      </c>
      <c r="E8" s="1" t="s">
        <v>50</v>
      </c>
      <c r="F8" s="1" t="s">
        <v>1696</v>
      </c>
      <c r="G8" s="1" t="s">
        <v>1585</v>
      </c>
      <c r="H8" s="1" t="s">
        <v>51</v>
      </c>
      <c r="I8" s="1" t="s">
        <v>22</v>
      </c>
      <c r="J8" s="1" t="s">
        <v>32</v>
      </c>
      <c r="K8" s="1" t="s">
        <v>33</v>
      </c>
      <c r="L8" s="1" t="s">
        <v>32</v>
      </c>
      <c r="M8" s="2">
        <v>45155</v>
      </c>
      <c r="N8" s="2" t="s">
        <v>25</v>
      </c>
      <c r="O8" s="2" t="s">
        <v>25</v>
      </c>
      <c r="P8" s="2" t="s">
        <v>25</v>
      </c>
      <c r="Q8" s="1" t="s">
        <v>26</v>
      </c>
      <c r="R8" s="7">
        <v>94946.32</v>
      </c>
      <c r="S8" s="7">
        <v>6781.88</v>
      </c>
      <c r="T8" s="7">
        <v>3366.99</v>
      </c>
      <c r="U8" s="7">
        <v>2162.85</v>
      </c>
      <c r="V8" s="7">
        <v>1252.04</v>
      </c>
      <c r="W8" s="10">
        <v>74.328400000000002</v>
      </c>
      <c r="X8" s="10">
        <v>226.60560000000001</v>
      </c>
    </row>
    <row r="9" spans="1:24" x14ac:dyDescent="0.25">
      <c r="A9" t="s">
        <v>52</v>
      </c>
      <c r="B9" t="s">
        <v>53</v>
      </c>
      <c r="C9" s="1" t="s">
        <v>54</v>
      </c>
      <c r="D9" s="1" t="s">
        <v>1647</v>
      </c>
      <c r="E9" s="1" t="s">
        <v>55</v>
      </c>
      <c r="F9" s="1" t="s">
        <v>1696</v>
      </c>
      <c r="G9" s="1" t="s">
        <v>1585</v>
      </c>
      <c r="H9" s="1" t="s">
        <v>56</v>
      </c>
      <c r="I9" s="1" t="s">
        <v>22</v>
      </c>
      <c r="J9" s="1" t="s">
        <v>32</v>
      </c>
      <c r="K9" s="1" t="s">
        <v>33</v>
      </c>
      <c r="L9" s="1" t="s">
        <v>32</v>
      </c>
      <c r="M9" s="2">
        <v>45155</v>
      </c>
      <c r="N9" s="2" t="s">
        <v>25</v>
      </c>
      <c r="O9" s="2" t="s">
        <v>25</v>
      </c>
      <c r="P9" s="2" t="s">
        <v>25</v>
      </c>
      <c r="Q9" s="1" t="s">
        <v>26</v>
      </c>
      <c r="R9" s="7">
        <v>94946.32</v>
      </c>
      <c r="S9" s="7">
        <v>6781.88</v>
      </c>
      <c r="T9" s="7">
        <v>3366.99</v>
      </c>
      <c r="U9" s="7">
        <v>2162.85</v>
      </c>
      <c r="V9" s="7">
        <v>1252.04</v>
      </c>
      <c r="W9" s="10">
        <v>29.552199999999999</v>
      </c>
      <c r="X9" s="10">
        <v>182.7176</v>
      </c>
    </row>
    <row r="10" spans="1:24" x14ac:dyDescent="0.25">
      <c r="A10" t="s">
        <v>57</v>
      </c>
      <c r="B10" t="s">
        <v>58</v>
      </c>
      <c r="C10" s="1" t="s">
        <v>59</v>
      </c>
      <c r="D10" s="1" t="s">
        <v>1646</v>
      </c>
      <c r="E10" s="1" t="s">
        <v>60</v>
      </c>
      <c r="F10" s="1" t="s">
        <v>1696</v>
      </c>
      <c r="G10" s="1" t="s">
        <v>1585</v>
      </c>
      <c r="H10" s="1" t="s">
        <v>61</v>
      </c>
      <c r="I10" s="1" t="s">
        <v>22</v>
      </c>
      <c r="J10" s="1" t="s">
        <v>62</v>
      </c>
      <c r="K10" s="1" t="s">
        <v>63</v>
      </c>
      <c r="L10" s="1" t="s">
        <v>62</v>
      </c>
      <c r="M10" s="2">
        <v>45155</v>
      </c>
      <c r="N10" s="2" t="s">
        <v>25</v>
      </c>
      <c r="O10" s="2" t="s">
        <v>25</v>
      </c>
      <c r="P10" s="2" t="s">
        <v>25</v>
      </c>
      <c r="Q10" s="1" t="s">
        <v>26</v>
      </c>
      <c r="R10" s="7">
        <v>101392.76</v>
      </c>
      <c r="S10" s="7">
        <v>7242.34</v>
      </c>
      <c r="T10" s="7">
        <v>3366.99</v>
      </c>
      <c r="U10" s="7">
        <v>2162.85</v>
      </c>
      <c r="V10" s="7">
        <v>1712.5</v>
      </c>
      <c r="W10" s="10">
        <v>300.89550000000003</v>
      </c>
      <c r="X10" s="10">
        <v>136.14250000000001</v>
      </c>
    </row>
    <row r="11" spans="1:24" x14ac:dyDescent="0.25">
      <c r="A11" t="s">
        <v>17</v>
      </c>
      <c r="B11" t="s">
        <v>64</v>
      </c>
      <c r="C11" s="1" t="s">
        <v>65</v>
      </c>
      <c r="D11" s="1" t="s">
        <v>1647</v>
      </c>
      <c r="E11" s="1" t="s">
        <v>66</v>
      </c>
      <c r="F11" s="1" t="s">
        <v>1696</v>
      </c>
      <c r="G11" s="1" t="s">
        <v>1585</v>
      </c>
      <c r="H11" s="1" t="s">
        <v>67</v>
      </c>
      <c r="I11" s="1" t="s">
        <v>22</v>
      </c>
      <c r="J11" s="1" t="s">
        <v>23</v>
      </c>
      <c r="K11" s="1" t="s">
        <v>24</v>
      </c>
      <c r="L11" s="1" t="s">
        <v>23</v>
      </c>
      <c r="M11" s="2">
        <v>45155</v>
      </c>
      <c r="N11" s="2" t="s">
        <v>25</v>
      </c>
      <c r="O11" s="2" t="s">
        <v>25</v>
      </c>
      <c r="P11" s="2" t="s">
        <v>25</v>
      </c>
      <c r="Q11" s="1" t="s">
        <v>26</v>
      </c>
      <c r="R11" s="7">
        <v>94946.32</v>
      </c>
      <c r="S11" s="7">
        <v>6781.88</v>
      </c>
      <c r="T11" s="7">
        <v>3366.99</v>
      </c>
      <c r="U11" s="7">
        <v>2162.85</v>
      </c>
      <c r="V11" s="7">
        <v>1252.04</v>
      </c>
      <c r="W11" s="10">
        <v>439.70150000000001</v>
      </c>
      <c r="X11" s="10">
        <v>147.78630000000001</v>
      </c>
    </row>
    <row r="12" spans="1:24" x14ac:dyDescent="0.25">
      <c r="A12" t="s">
        <v>68</v>
      </c>
      <c r="B12" t="s">
        <v>69</v>
      </c>
      <c r="C12" s="1" t="s">
        <v>70</v>
      </c>
      <c r="D12" s="1" t="s">
        <v>1647</v>
      </c>
      <c r="E12" s="1" t="s">
        <v>71</v>
      </c>
      <c r="F12" s="1" t="s">
        <v>1696</v>
      </c>
      <c r="G12" s="1" t="s">
        <v>1585</v>
      </c>
      <c r="H12" s="1" t="s">
        <v>40</v>
      </c>
      <c r="I12" s="1" t="s">
        <v>22</v>
      </c>
      <c r="J12" s="1" t="s">
        <v>41</v>
      </c>
      <c r="K12" s="1" t="s">
        <v>42</v>
      </c>
      <c r="L12" s="1" t="s">
        <v>41</v>
      </c>
      <c r="M12" s="2">
        <v>45302</v>
      </c>
      <c r="N12" s="2" t="s">
        <v>25</v>
      </c>
      <c r="O12" s="1" t="s">
        <v>1508</v>
      </c>
      <c r="P12" s="1" t="s">
        <v>25</v>
      </c>
      <c r="Q12" s="1" t="s">
        <v>26</v>
      </c>
      <c r="R12" s="7">
        <v>79119.740000000005</v>
      </c>
      <c r="S12" s="7">
        <v>5651.41</v>
      </c>
      <c r="T12" s="7">
        <v>3366.99</v>
      </c>
      <c r="U12" s="7">
        <v>1032.3800000000001</v>
      </c>
      <c r="V12" s="7">
        <v>1252.04</v>
      </c>
      <c r="W12" s="10">
        <v>224.77610000000001</v>
      </c>
      <c r="X12" s="10">
        <v>25.974599999999999</v>
      </c>
    </row>
    <row r="13" spans="1:24" x14ac:dyDescent="0.25">
      <c r="A13" t="s">
        <v>72</v>
      </c>
      <c r="B13" t="s">
        <v>73</v>
      </c>
      <c r="C13" s="1" t="s">
        <v>74</v>
      </c>
      <c r="D13" s="1" t="s">
        <v>1646</v>
      </c>
      <c r="E13" s="1" t="s">
        <v>75</v>
      </c>
      <c r="F13" s="1" t="s">
        <v>1696</v>
      </c>
      <c r="G13" s="1" t="s">
        <v>1585</v>
      </c>
      <c r="H13" s="1" t="s">
        <v>67</v>
      </c>
      <c r="I13" s="1" t="s">
        <v>22</v>
      </c>
      <c r="J13" s="1" t="s">
        <v>41</v>
      </c>
      <c r="K13" s="1" t="s">
        <v>42</v>
      </c>
      <c r="L13" s="1" t="s">
        <v>41</v>
      </c>
      <c r="M13" s="2">
        <v>45155</v>
      </c>
      <c r="N13" s="2" t="s">
        <v>25</v>
      </c>
      <c r="O13" s="2" t="s">
        <v>25</v>
      </c>
      <c r="P13" s="2" t="s">
        <v>25</v>
      </c>
      <c r="Q13" s="1" t="s">
        <v>26</v>
      </c>
      <c r="R13" s="7">
        <v>94946.32</v>
      </c>
      <c r="S13" s="7">
        <v>6781.88</v>
      </c>
      <c r="T13" s="7">
        <v>3366.99</v>
      </c>
      <c r="U13" s="7">
        <v>2162.85</v>
      </c>
      <c r="V13" s="7">
        <v>1252.04</v>
      </c>
      <c r="W13" s="10">
        <v>299.10449999999997</v>
      </c>
      <c r="X13" s="10">
        <v>56.427500000000002</v>
      </c>
    </row>
    <row r="14" spans="1:24" x14ac:dyDescent="0.25">
      <c r="A14" t="s">
        <v>76</v>
      </c>
      <c r="B14" t="s">
        <v>77</v>
      </c>
      <c r="C14" s="1" t="s">
        <v>78</v>
      </c>
      <c r="D14" s="1" t="s">
        <v>1647</v>
      </c>
      <c r="E14" s="1" t="s">
        <v>79</v>
      </c>
      <c r="F14" s="1" t="s">
        <v>1696</v>
      </c>
      <c r="G14" s="1" t="s">
        <v>1585</v>
      </c>
      <c r="H14" s="1" t="s">
        <v>61</v>
      </c>
      <c r="I14" s="1" t="s">
        <v>22</v>
      </c>
      <c r="J14" s="1" t="s">
        <v>80</v>
      </c>
      <c r="K14" s="1" t="s">
        <v>81</v>
      </c>
      <c r="L14" s="1" t="s">
        <v>80</v>
      </c>
      <c r="M14" s="2">
        <v>45155</v>
      </c>
      <c r="N14" s="2" t="s">
        <v>25</v>
      </c>
      <c r="O14" s="2" t="s">
        <v>25</v>
      </c>
      <c r="P14" s="2" t="s">
        <v>25</v>
      </c>
      <c r="Q14" s="1" t="s">
        <v>26</v>
      </c>
      <c r="R14" s="7">
        <v>139710.06</v>
      </c>
      <c r="S14" s="7">
        <v>9979.2900000000009</v>
      </c>
      <c r="T14" s="7">
        <v>3366.99</v>
      </c>
      <c r="U14" s="7">
        <v>2162.85</v>
      </c>
      <c r="V14" s="7">
        <v>4449.45</v>
      </c>
      <c r="W14" s="10">
        <v>159.40299999999999</v>
      </c>
      <c r="X14" s="10">
        <v>95.837199999999996</v>
      </c>
    </row>
    <row r="15" spans="1:24" x14ac:dyDescent="0.25">
      <c r="A15" t="s">
        <v>82</v>
      </c>
      <c r="B15" t="s">
        <v>83</v>
      </c>
      <c r="C15" s="1" t="s">
        <v>84</v>
      </c>
      <c r="D15" s="1" t="s">
        <v>1646</v>
      </c>
      <c r="E15" s="1" t="s">
        <v>85</v>
      </c>
      <c r="F15" s="1" t="s">
        <v>1698</v>
      </c>
      <c r="G15" s="1" t="s">
        <v>1636</v>
      </c>
      <c r="H15" s="1" t="s">
        <v>40</v>
      </c>
      <c r="I15" s="1" t="s">
        <v>22</v>
      </c>
      <c r="J15" s="1" t="s">
        <v>32</v>
      </c>
      <c r="K15" s="1" t="s">
        <v>33</v>
      </c>
      <c r="L15" s="1" t="s">
        <v>1693</v>
      </c>
      <c r="M15" s="2">
        <v>45266</v>
      </c>
      <c r="N15" s="2" t="s">
        <v>25</v>
      </c>
      <c r="O15" s="2" t="s">
        <v>25</v>
      </c>
      <c r="P15" s="2" t="s">
        <v>25</v>
      </c>
      <c r="Q15" s="1" t="s">
        <v>26</v>
      </c>
      <c r="R15" s="7">
        <v>89819</v>
      </c>
      <c r="S15" s="7">
        <v>7484.92</v>
      </c>
      <c r="T15" s="7">
        <v>3366.99</v>
      </c>
      <c r="U15" s="7">
        <v>0</v>
      </c>
      <c r="V15" s="7">
        <v>0</v>
      </c>
      <c r="W15" s="10">
        <v>169.25370000000001</v>
      </c>
      <c r="X15" s="10">
        <v>227.50129999999999</v>
      </c>
    </row>
    <row r="16" spans="1:24" x14ac:dyDescent="0.25">
      <c r="A16" t="s">
        <v>86</v>
      </c>
      <c r="B16" t="s">
        <v>87</v>
      </c>
      <c r="C16" s="1" t="s">
        <v>88</v>
      </c>
      <c r="D16" s="1" t="s">
        <v>1646</v>
      </c>
      <c r="E16" s="1" t="s">
        <v>89</v>
      </c>
      <c r="F16" s="1" t="s">
        <v>1696</v>
      </c>
      <c r="G16" s="1" t="s">
        <v>1585</v>
      </c>
      <c r="H16" s="1" t="s">
        <v>90</v>
      </c>
      <c r="I16" s="1" t="s">
        <v>22</v>
      </c>
      <c r="J16" s="1" t="s">
        <v>41</v>
      </c>
      <c r="K16" s="1" t="s">
        <v>42</v>
      </c>
      <c r="L16" s="1" t="s">
        <v>41</v>
      </c>
      <c r="M16" s="2">
        <v>45155</v>
      </c>
      <c r="N16" s="2" t="s">
        <v>25</v>
      </c>
      <c r="O16" s="2" t="s">
        <v>25</v>
      </c>
      <c r="P16" s="2" t="s">
        <v>25</v>
      </c>
      <c r="Q16" s="1" t="s">
        <v>26</v>
      </c>
      <c r="R16" s="7">
        <v>94946.32</v>
      </c>
      <c r="S16" s="7">
        <v>6781.88</v>
      </c>
      <c r="T16" s="7">
        <v>3366.99</v>
      </c>
      <c r="U16" s="7">
        <v>2162.85</v>
      </c>
      <c r="V16" s="7">
        <v>1252.04</v>
      </c>
      <c r="W16" s="10">
        <v>276.71640000000002</v>
      </c>
      <c r="X16" s="10">
        <v>51.949100000000001</v>
      </c>
    </row>
    <row r="17" spans="1:24" x14ac:dyDescent="0.25">
      <c r="A17" t="s">
        <v>91</v>
      </c>
      <c r="B17" t="s">
        <v>92</v>
      </c>
      <c r="C17" s="1" t="s">
        <v>93</v>
      </c>
      <c r="D17" s="1" t="s">
        <v>1647</v>
      </c>
      <c r="E17" s="1" t="s">
        <v>94</v>
      </c>
      <c r="F17" s="1" t="s">
        <v>1698</v>
      </c>
      <c r="G17" s="1" t="s">
        <v>1641</v>
      </c>
      <c r="H17" s="1" t="s">
        <v>95</v>
      </c>
      <c r="I17" s="1" t="s">
        <v>22</v>
      </c>
      <c r="J17" s="1" t="s">
        <v>32</v>
      </c>
      <c r="K17" s="1" t="s">
        <v>33</v>
      </c>
      <c r="L17" s="1" t="s">
        <v>32</v>
      </c>
      <c r="M17" s="2">
        <v>45155</v>
      </c>
      <c r="N17" s="2">
        <v>45266</v>
      </c>
      <c r="O17" s="2" t="s">
        <v>25</v>
      </c>
      <c r="P17" s="1" t="s">
        <v>1497</v>
      </c>
      <c r="Q17" s="1" t="s">
        <v>35</v>
      </c>
      <c r="R17" s="7">
        <v>81793.8</v>
      </c>
      <c r="S17" s="7">
        <v>6816.15</v>
      </c>
      <c r="T17" s="7">
        <v>3366.99</v>
      </c>
      <c r="U17" s="7">
        <f>S17-(T17+V17)</f>
        <v>2197.12</v>
      </c>
      <c r="V17" s="7">
        <v>1252.04</v>
      </c>
      <c r="W17" s="10">
        <v>225.67160000000001</v>
      </c>
      <c r="X17" s="10">
        <v>173.76079999999999</v>
      </c>
    </row>
    <row r="18" spans="1:24" x14ac:dyDescent="0.25">
      <c r="A18" t="s">
        <v>96</v>
      </c>
      <c r="B18" t="s">
        <v>97</v>
      </c>
      <c r="C18" s="1" t="s">
        <v>98</v>
      </c>
      <c r="D18" s="1" t="s">
        <v>1646</v>
      </c>
      <c r="E18" s="1" t="s">
        <v>99</v>
      </c>
      <c r="F18" s="1" t="s">
        <v>1696</v>
      </c>
      <c r="G18" s="1" t="s">
        <v>1585</v>
      </c>
      <c r="H18" s="1" t="s">
        <v>100</v>
      </c>
      <c r="I18" s="1" t="s">
        <v>22</v>
      </c>
      <c r="J18" s="1" t="s">
        <v>32</v>
      </c>
      <c r="K18" s="1" t="s">
        <v>33</v>
      </c>
      <c r="L18" s="1" t="s">
        <v>32</v>
      </c>
      <c r="M18" s="2">
        <v>45155</v>
      </c>
      <c r="N18" s="2" t="s">
        <v>25</v>
      </c>
      <c r="O18" s="2" t="s">
        <v>25</v>
      </c>
      <c r="P18" s="2" t="s">
        <v>25</v>
      </c>
      <c r="Q18" s="1" t="s">
        <v>26</v>
      </c>
      <c r="R18" s="7">
        <v>112376.46</v>
      </c>
      <c r="S18" s="7">
        <v>8026.89</v>
      </c>
      <c r="T18" s="7">
        <v>3366.99</v>
      </c>
      <c r="U18" s="7">
        <v>2162.85</v>
      </c>
      <c r="V18" s="7">
        <v>2497.0500000000002</v>
      </c>
      <c r="W18" s="10">
        <v>145.0746</v>
      </c>
      <c r="X18" s="10">
        <v>238.24940000000001</v>
      </c>
    </row>
    <row r="19" spans="1:24" x14ac:dyDescent="0.25">
      <c r="A19" t="s">
        <v>101</v>
      </c>
      <c r="B19" t="s">
        <v>102</v>
      </c>
      <c r="C19" s="1" t="s">
        <v>103</v>
      </c>
      <c r="D19" s="1" t="s">
        <v>1647</v>
      </c>
      <c r="E19" s="1" t="s">
        <v>104</v>
      </c>
      <c r="F19" s="1" t="s">
        <v>1696</v>
      </c>
      <c r="G19" s="1" t="s">
        <v>1585</v>
      </c>
      <c r="H19" s="1" t="s">
        <v>31</v>
      </c>
      <c r="I19" s="1" t="s">
        <v>22</v>
      </c>
      <c r="J19" s="1" t="s">
        <v>23</v>
      </c>
      <c r="K19" s="1" t="s">
        <v>24</v>
      </c>
      <c r="L19" s="1" t="s">
        <v>23</v>
      </c>
      <c r="M19" s="2">
        <v>45155</v>
      </c>
      <c r="N19" s="2" t="s">
        <v>25</v>
      </c>
      <c r="O19" s="2" t="s">
        <v>25</v>
      </c>
      <c r="P19" s="2" t="s">
        <v>25</v>
      </c>
      <c r="Q19" s="1" t="s">
        <v>26</v>
      </c>
      <c r="R19" s="7">
        <v>94946.32</v>
      </c>
      <c r="S19" s="7">
        <v>6781.88</v>
      </c>
      <c r="T19" s="7">
        <v>3366.99</v>
      </c>
      <c r="U19" s="7">
        <v>2162.85</v>
      </c>
      <c r="V19" s="7">
        <v>1252.04</v>
      </c>
      <c r="W19" s="10">
        <v>454.0299</v>
      </c>
      <c r="X19" s="10">
        <v>248.1018</v>
      </c>
    </row>
    <row r="20" spans="1:24" x14ac:dyDescent="0.25">
      <c r="A20" t="s">
        <v>91</v>
      </c>
      <c r="B20" t="s">
        <v>105</v>
      </c>
      <c r="C20" s="1" t="s">
        <v>106</v>
      </c>
      <c r="D20" s="1" t="s">
        <v>1647</v>
      </c>
      <c r="E20" s="1" t="s">
        <v>107</v>
      </c>
      <c r="F20" s="1" t="s">
        <v>1696</v>
      </c>
      <c r="G20" s="1" t="s">
        <v>1585</v>
      </c>
      <c r="H20" s="1" t="s">
        <v>108</v>
      </c>
      <c r="I20" s="1" t="s">
        <v>22</v>
      </c>
      <c r="J20" s="1" t="s">
        <v>23</v>
      </c>
      <c r="K20" s="1" t="s">
        <v>24</v>
      </c>
      <c r="L20" s="1" t="s">
        <v>23</v>
      </c>
      <c r="M20" s="2">
        <v>45155</v>
      </c>
      <c r="N20" s="2" t="s">
        <v>25</v>
      </c>
      <c r="O20" s="2" t="s">
        <v>25</v>
      </c>
      <c r="P20" s="2" t="s">
        <v>25</v>
      </c>
      <c r="Q20" s="1" t="s">
        <v>26</v>
      </c>
      <c r="R20" s="7">
        <v>94946.32</v>
      </c>
      <c r="S20" s="7">
        <v>6781.88</v>
      </c>
      <c r="T20" s="7">
        <v>3366.99</v>
      </c>
      <c r="U20" s="7">
        <v>2162.85</v>
      </c>
      <c r="V20" s="7">
        <v>1252.04</v>
      </c>
      <c r="W20" s="10">
        <v>280.29849999999999</v>
      </c>
      <c r="X20" s="10">
        <v>27.765899999999998</v>
      </c>
    </row>
    <row r="21" spans="1:24" x14ac:dyDescent="0.25">
      <c r="A21" t="s">
        <v>109</v>
      </c>
      <c r="B21" t="s">
        <v>110</v>
      </c>
      <c r="C21" s="1" t="s">
        <v>111</v>
      </c>
      <c r="D21" s="1" t="s">
        <v>1646</v>
      </c>
      <c r="E21" s="1" t="s">
        <v>112</v>
      </c>
      <c r="F21" s="1" t="s">
        <v>1696</v>
      </c>
      <c r="G21" s="1" t="s">
        <v>1585</v>
      </c>
      <c r="H21" s="1" t="s">
        <v>67</v>
      </c>
      <c r="I21" s="1" t="s">
        <v>22</v>
      </c>
      <c r="J21" s="1" t="s">
        <v>32</v>
      </c>
      <c r="K21" s="1" t="s">
        <v>33</v>
      </c>
      <c r="L21" s="1" t="s">
        <v>32</v>
      </c>
      <c r="M21" s="2">
        <v>45538</v>
      </c>
      <c r="N21" s="2" t="s">
        <v>25</v>
      </c>
      <c r="O21" s="1" t="s">
        <v>814</v>
      </c>
      <c r="P21" s="2" t="s">
        <v>25</v>
      </c>
      <c r="Q21" s="1" t="s">
        <v>26</v>
      </c>
      <c r="R21" s="7">
        <v>89103.7</v>
      </c>
      <c r="S21" s="7">
        <v>6364.55</v>
      </c>
      <c r="T21" s="7">
        <v>3366.99</v>
      </c>
      <c r="U21" s="7">
        <v>2162.85</v>
      </c>
      <c r="V21" s="7">
        <v>834.71</v>
      </c>
      <c r="W21" s="10">
        <v>5.3731</v>
      </c>
      <c r="X21" s="10">
        <v>237.3537</v>
      </c>
    </row>
    <row r="22" spans="1:24" x14ac:dyDescent="0.25">
      <c r="A22" t="s">
        <v>113</v>
      </c>
      <c r="B22" t="s">
        <v>114</v>
      </c>
      <c r="C22" s="1" t="s">
        <v>115</v>
      </c>
      <c r="D22" s="1" t="s">
        <v>1647</v>
      </c>
      <c r="E22" s="1" t="s">
        <v>116</v>
      </c>
      <c r="F22" s="1" t="s">
        <v>1696</v>
      </c>
      <c r="G22" s="1" t="s">
        <v>1585</v>
      </c>
      <c r="H22" s="1" t="s">
        <v>117</v>
      </c>
      <c r="I22" s="1" t="s">
        <v>22</v>
      </c>
      <c r="J22" s="1" t="s">
        <v>32</v>
      </c>
      <c r="K22" s="1" t="s">
        <v>33</v>
      </c>
      <c r="L22" s="1" t="s">
        <v>32</v>
      </c>
      <c r="M22" s="2">
        <v>45273</v>
      </c>
      <c r="N22" s="2" t="s">
        <v>25</v>
      </c>
      <c r="O22" s="1" t="s">
        <v>579</v>
      </c>
      <c r="P22" s="2" t="s">
        <v>25</v>
      </c>
      <c r="Q22" s="1" t="s">
        <v>26</v>
      </c>
      <c r="R22" s="7">
        <v>94946.32</v>
      </c>
      <c r="S22" s="7">
        <v>6781.88</v>
      </c>
      <c r="T22" s="7">
        <v>3366.99</v>
      </c>
      <c r="U22" s="7">
        <v>2162.85</v>
      </c>
      <c r="V22" s="7">
        <v>1252.04</v>
      </c>
      <c r="W22" s="10">
        <v>52.835799999999999</v>
      </c>
      <c r="X22" s="10">
        <v>344.83460000000002</v>
      </c>
    </row>
    <row r="23" spans="1:24" x14ac:dyDescent="0.25">
      <c r="A23" t="s">
        <v>118</v>
      </c>
      <c r="B23" t="s">
        <v>119</v>
      </c>
      <c r="C23" s="1" t="s">
        <v>120</v>
      </c>
      <c r="D23" s="1" t="s">
        <v>1646</v>
      </c>
      <c r="E23" s="1" t="s">
        <v>121</v>
      </c>
      <c r="F23" s="1" t="s">
        <v>1696</v>
      </c>
      <c r="G23" s="1" t="s">
        <v>1585</v>
      </c>
      <c r="H23" s="1" t="s">
        <v>122</v>
      </c>
      <c r="I23" s="1" t="s">
        <v>22</v>
      </c>
      <c r="J23" s="1" t="s">
        <v>123</v>
      </c>
      <c r="K23" s="1" t="s">
        <v>124</v>
      </c>
      <c r="L23" s="1" t="s">
        <v>125</v>
      </c>
      <c r="M23" s="2">
        <v>45155</v>
      </c>
      <c r="N23" s="2" t="s">
        <v>25</v>
      </c>
      <c r="O23" s="2" t="s">
        <v>25</v>
      </c>
      <c r="P23" s="2" t="s">
        <v>25</v>
      </c>
      <c r="Q23" s="1" t="s">
        <v>26</v>
      </c>
      <c r="R23" s="7">
        <v>94946.32</v>
      </c>
      <c r="S23" s="7">
        <v>6781.88</v>
      </c>
      <c r="T23" s="7">
        <v>3366.99</v>
      </c>
      <c r="U23" s="7">
        <v>2162.85</v>
      </c>
      <c r="V23" s="7">
        <v>1252.04</v>
      </c>
      <c r="W23" s="10">
        <v>226.56720000000001</v>
      </c>
      <c r="X23" s="10">
        <v>103.0025</v>
      </c>
    </row>
    <row r="24" spans="1:24" x14ac:dyDescent="0.25">
      <c r="A24" t="s">
        <v>126</v>
      </c>
      <c r="B24" t="s">
        <v>127</v>
      </c>
      <c r="C24" s="1" t="s">
        <v>128</v>
      </c>
      <c r="D24" s="1" t="s">
        <v>1647</v>
      </c>
      <c r="E24" s="1" t="s">
        <v>129</v>
      </c>
      <c r="F24" s="1" t="s">
        <v>1696</v>
      </c>
      <c r="G24" s="1" t="s">
        <v>1585</v>
      </c>
      <c r="H24" s="1" t="s">
        <v>130</v>
      </c>
      <c r="I24" s="1" t="s">
        <v>22</v>
      </c>
      <c r="J24" s="1" t="s">
        <v>23</v>
      </c>
      <c r="K24" s="1" t="s">
        <v>24</v>
      </c>
      <c r="L24" s="1" t="s">
        <v>23</v>
      </c>
      <c r="M24" s="2">
        <v>45155</v>
      </c>
      <c r="N24" s="2" t="s">
        <v>25</v>
      </c>
      <c r="O24" s="2" t="s">
        <v>25</v>
      </c>
      <c r="P24" s="2" t="s">
        <v>25</v>
      </c>
      <c r="Q24" s="1" t="s">
        <v>26</v>
      </c>
      <c r="R24" s="7">
        <v>94946.32</v>
      </c>
      <c r="S24" s="7">
        <v>6781.88</v>
      </c>
      <c r="T24" s="7">
        <v>3366.99</v>
      </c>
      <c r="U24" s="7">
        <v>2162.85</v>
      </c>
      <c r="V24" s="7">
        <v>1252.04</v>
      </c>
      <c r="W24" s="10">
        <v>380.59699999999998</v>
      </c>
      <c r="X24" s="10">
        <v>216.75319999999999</v>
      </c>
    </row>
    <row r="25" spans="1:24" x14ac:dyDescent="0.25">
      <c r="A25" t="s">
        <v>131</v>
      </c>
      <c r="B25" t="s">
        <v>132</v>
      </c>
      <c r="C25" s="1" t="s">
        <v>133</v>
      </c>
      <c r="D25" s="1" t="s">
        <v>1647</v>
      </c>
      <c r="E25" s="1" t="s">
        <v>134</v>
      </c>
      <c r="F25" s="1" t="s">
        <v>1696</v>
      </c>
      <c r="G25" s="1" t="s">
        <v>1585</v>
      </c>
      <c r="H25" s="1" t="s">
        <v>67</v>
      </c>
      <c r="I25" s="1" t="s">
        <v>22</v>
      </c>
      <c r="J25" s="1" t="s">
        <v>23</v>
      </c>
      <c r="K25" s="1" t="s">
        <v>24</v>
      </c>
      <c r="L25" s="1" t="s">
        <v>23</v>
      </c>
      <c r="M25" s="2">
        <v>45155</v>
      </c>
      <c r="N25" s="2" t="s">
        <v>25</v>
      </c>
      <c r="O25" s="2" t="s">
        <v>25</v>
      </c>
      <c r="P25" s="2" t="s">
        <v>25</v>
      </c>
      <c r="Q25" s="1" t="s">
        <v>26</v>
      </c>
      <c r="R25" s="7">
        <v>114078.44</v>
      </c>
      <c r="S25" s="7">
        <v>8148.46</v>
      </c>
      <c r="T25" s="7">
        <v>3366.99</v>
      </c>
      <c r="U25" s="7">
        <v>1032.3800000000001</v>
      </c>
      <c r="V25" s="7">
        <v>3749.09</v>
      </c>
      <c r="W25" s="10">
        <v>381.49250000000001</v>
      </c>
      <c r="X25" s="10">
        <v>248.9975</v>
      </c>
    </row>
    <row r="26" spans="1:24" x14ac:dyDescent="0.25">
      <c r="A26" t="s">
        <v>135</v>
      </c>
      <c r="B26" t="s">
        <v>136</v>
      </c>
      <c r="C26" s="1" t="s">
        <v>137</v>
      </c>
      <c r="D26" s="1" t="s">
        <v>1647</v>
      </c>
      <c r="E26" s="1" t="s">
        <v>138</v>
      </c>
      <c r="F26" s="1" t="s">
        <v>1696</v>
      </c>
      <c r="G26" s="1" t="s">
        <v>1585</v>
      </c>
      <c r="H26" s="1" t="s">
        <v>139</v>
      </c>
      <c r="I26" s="1" t="s">
        <v>22</v>
      </c>
      <c r="J26" s="1" t="s">
        <v>23</v>
      </c>
      <c r="K26" s="1" t="s">
        <v>24</v>
      </c>
      <c r="L26" s="1" t="s">
        <v>23</v>
      </c>
      <c r="M26" s="2">
        <v>45155</v>
      </c>
      <c r="N26" s="2" t="s">
        <v>25</v>
      </c>
      <c r="O26" s="2" t="s">
        <v>25</v>
      </c>
      <c r="P26" s="2" t="s">
        <v>25</v>
      </c>
      <c r="Q26" s="1" t="s">
        <v>26</v>
      </c>
      <c r="R26" s="7">
        <v>94946.32</v>
      </c>
      <c r="S26" s="7">
        <v>6781.88</v>
      </c>
      <c r="T26" s="7">
        <v>3366.99</v>
      </c>
      <c r="U26" s="7">
        <v>2162.85</v>
      </c>
      <c r="V26" s="7">
        <v>1252.04</v>
      </c>
      <c r="W26" s="10">
        <v>356.41789999999997</v>
      </c>
      <c r="X26" s="10">
        <v>201.52670000000001</v>
      </c>
    </row>
    <row r="27" spans="1:24" x14ac:dyDescent="0.25">
      <c r="A27" t="s">
        <v>140</v>
      </c>
      <c r="B27" t="s">
        <v>141</v>
      </c>
      <c r="C27" s="1" t="s">
        <v>142</v>
      </c>
      <c r="D27" s="1" t="s">
        <v>1647</v>
      </c>
      <c r="E27" s="1" t="s">
        <v>143</v>
      </c>
      <c r="F27" s="1" t="s">
        <v>1696</v>
      </c>
      <c r="G27" s="1" t="s">
        <v>1585</v>
      </c>
      <c r="H27" s="1" t="s">
        <v>144</v>
      </c>
      <c r="I27" s="1" t="s">
        <v>22</v>
      </c>
      <c r="J27" s="1" t="s">
        <v>32</v>
      </c>
      <c r="K27" s="1" t="s">
        <v>33</v>
      </c>
      <c r="L27" s="1" t="s">
        <v>32</v>
      </c>
      <c r="M27" s="2">
        <v>45155</v>
      </c>
      <c r="N27" s="2" t="s">
        <v>25</v>
      </c>
      <c r="O27" s="2" t="s">
        <v>25</v>
      </c>
      <c r="P27" s="2" t="s">
        <v>25</v>
      </c>
      <c r="Q27" s="1" t="s">
        <v>26</v>
      </c>
      <c r="R27" s="7">
        <v>94946.32</v>
      </c>
      <c r="S27" s="7">
        <v>6781.88</v>
      </c>
      <c r="T27" s="7">
        <v>3366.99</v>
      </c>
      <c r="U27" s="7">
        <v>2162.85</v>
      </c>
      <c r="V27" s="7">
        <v>1252.04</v>
      </c>
      <c r="W27" s="10">
        <v>28.656700000000001</v>
      </c>
      <c r="X27" s="10">
        <v>192.57</v>
      </c>
    </row>
    <row r="28" spans="1:24" x14ac:dyDescent="0.25">
      <c r="A28" t="s">
        <v>145</v>
      </c>
      <c r="B28" t="s">
        <v>146</v>
      </c>
      <c r="C28" s="1" t="s">
        <v>147</v>
      </c>
      <c r="D28" s="1" t="s">
        <v>1646</v>
      </c>
      <c r="E28" s="1" t="s">
        <v>148</v>
      </c>
      <c r="F28" s="1" t="s">
        <v>1696</v>
      </c>
      <c r="G28" s="1" t="s">
        <v>1585</v>
      </c>
      <c r="H28" s="1" t="s">
        <v>67</v>
      </c>
      <c r="I28" s="1" t="s">
        <v>22</v>
      </c>
      <c r="J28" s="1" t="s">
        <v>123</v>
      </c>
      <c r="K28" s="1" t="s">
        <v>149</v>
      </c>
      <c r="L28" s="1" t="s">
        <v>123</v>
      </c>
      <c r="M28" s="2">
        <v>45155</v>
      </c>
      <c r="N28" s="2" t="s">
        <v>25</v>
      </c>
      <c r="O28" s="2" t="s">
        <v>25</v>
      </c>
      <c r="P28" s="2" t="s">
        <v>25</v>
      </c>
      <c r="Q28" s="1" t="s">
        <v>26</v>
      </c>
      <c r="R28" s="7">
        <v>94946.32</v>
      </c>
      <c r="S28" s="7">
        <v>6781.88</v>
      </c>
      <c r="T28" s="7">
        <v>3366.99</v>
      </c>
      <c r="U28" s="7">
        <v>2162.85</v>
      </c>
      <c r="V28" s="7">
        <v>1252.04</v>
      </c>
      <c r="W28" s="10">
        <v>318.80599999999998</v>
      </c>
      <c r="X28" s="10">
        <v>90.463099999999997</v>
      </c>
    </row>
    <row r="29" spans="1:24" x14ac:dyDescent="0.25">
      <c r="A29" t="s">
        <v>150</v>
      </c>
      <c r="B29" t="s">
        <v>151</v>
      </c>
      <c r="C29" s="1" t="s">
        <v>152</v>
      </c>
      <c r="D29" s="1" t="s">
        <v>1647</v>
      </c>
      <c r="E29" s="1" t="s">
        <v>153</v>
      </c>
      <c r="F29" s="1" t="s">
        <v>1696</v>
      </c>
      <c r="G29" s="1" t="s">
        <v>1585</v>
      </c>
      <c r="H29" s="1" t="s">
        <v>40</v>
      </c>
      <c r="I29" s="1" t="s">
        <v>22</v>
      </c>
      <c r="J29" s="1" t="s">
        <v>125</v>
      </c>
      <c r="K29" s="1" t="s">
        <v>124</v>
      </c>
      <c r="L29" s="1" t="s">
        <v>125</v>
      </c>
      <c r="M29" s="2">
        <v>45155</v>
      </c>
      <c r="N29" s="2" t="s">
        <v>25</v>
      </c>
      <c r="O29" s="2" t="s">
        <v>25</v>
      </c>
      <c r="P29" s="2" t="s">
        <v>25</v>
      </c>
      <c r="Q29" s="1" t="s">
        <v>26</v>
      </c>
      <c r="R29" s="7">
        <v>79119.740000000005</v>
      </c>
      <c r="S29" s="7">
        <v>5651.51</v>
      </c>
      <c r="T29" s="7">
        <v>3366.99</v>
      </c>
      <c r="U29" s="7">
        <v>1032.3800000000001</v>
      </c>
      <c r="V29" s="7">
        <v>1252.04</v>
      </c>
      <c r="W29" s="10">
        <v>214.0299</v>
      </c>
      <c r="X29" s="10">
        <v>128.97710000000001</v>
      </c>
    </row>
    <row r="30" spans="1:24" x14ac:dyDescent="0.25">
      <c r="A30" t="s">
        <v>154</v>
      </c>
      <c r="B30" t="s">
        <v>155</v>
      </c>
      <c r="C30" s="1" t="s">
        <v>156</v>
      </c>
      <c r="D30" s="1" t="s">
        <v>1647</v>
      </c>
      <c r="E30" s="1" t="s">
        <v>157</v>
      </c>
      <c r="F30" s="1" t="s">
        <v>1696</v>
      </c>
      <c r="G30" s="1" t="s">
        <v>1585</v>
      </c>
      <c r="H30" s="1" t="s">
        <v>67</v>
      </c>
      <c r="I30" s="1" t="s">
        <v>22</v>
      </c>
      <c r="J30" s="1" t="s">
        <v>32</v>
      </c>
      <c r="K30" s="1" t="s">
        <v>33</v>
      </c>
      <c r="L30" s="1" t="s">
        <v>32</v>
      </c>
      <c r="M30" s="2">
        <v>45155</v>
      </c>
      <c r="N30" s="2" t="s">
        <v>25</v>
      </c>
      <c r="O30" s="2" t="s">
        <v>25</v>
      </c>
      <c r="P30" s="2" t="s">
        <v>25</v>
      </c>
      <c r="Q30" s="1" t="s">
        <v>26</v>
      </c>
      <c r="R30" s="7">
        <v>94946.32</v>
      </c>
      <c r="S30" s="7">
        <v>6781.88</v>
      </c>
      <c r="T30" s="7">
        <v>3366.99</v>
      </c>
      <c r="U30" s="7">
        <v>2162.85</v>
      </c>
      <c r="V30" s="7">
        <v>1252.04</v>
      </c>
      <c r="W30" s="10">
        <v>25.970099999999999</v>
      </c>
      <c r="X30" s="10">
        <v>249.8931</v>
      </c>
    </row>
    <row r="31" spans="1:24" x14ac:dyDescent="0.25">
      <c r="A31" t="s">
        <v>158</v>
      </c>
      <c r="B31" t="s">
        <v>159</v>
      </c>
      <c r="C31" s="1" t="s">
        <v>160</v>
      </c>
      <c r="D31" s="1" t="s">
        <v>1646</v>
      </c>
      <c r="E31" s="1" t="s">
        <v>161</v>
      </c>
      <c r="F31" s="1" t="s">
        <v>1696</v>
      </c>
      <c r="G31" s="1" t="s">
        <v>1585</v>
      </c>
      <c r="H31" s="1" t="s">
        <v>144</v>
      </c>
      <c r="I31" s="1" t="s">
        <v>22</v>
      </c>
      <c r="J31" s="1" t="s">
        <v>23</v>
      </c>
      <c r="K31" s="1" t="s">
        <v>24</v>
      </c>
      <c r="L31" s="1" t="s">
        <v>23</v>
      </c>
      <c r="M31" s="2">
        <v>45155</v>
      </c>
      <c r="N31" s="2">
        <v>45547</v>
      </c>
      <c r="O31" s="2" t="s">
        <v>25</v>
      </c>
      <c r="P31" s="1" t="s">
        <v>989</v>
      </c>
      <c r="Q31" s="1" t="s">
        <v>35</v>
      </c>
      <c r="R31" s="7">
        <v>94946.32</v>
      </c>
      <c r="S31" s="7">
        <v>6781.88</v>
      </c>
      <c r="T31" s="7">
        <v>3366.99</v>
      </c>
      <c r="U31" s="7">
        <v>2162.85</v>
      </c>
      <c r="V31" s="7">
        <v>1252.04</v>
      </c>
      <c r="W31" s="10">
        <v>412.83580000000001</v>
      </c>
      <c r="X31" s="10">
        <v>68.071200000000005</v>
      </c>
    </row>
    <row r="32" spans="1:24" x14ac:dyDescent="0.25">
      <c r="A32" t="s">
        <v>162</v>
      </c>
      <c r="B32" t="s">
        <v>163</v>
      </c>
      <c r="C32" s="1" t="s">
        <v>164</v>
      </c>
      <c r="D32" s="1" t="s">
        <v>1646</v>
      </c>
      <c r="E32" s="1" t="s">
        <v>165</v>
      </c>
      <c r="F32" s="1" t="s">
        <v>1696</v>
      </c>
      <c r="G32" s="1" t="s">
        <v>1585</v>
      </c>
      <c r="H32" s="1" t="s">
        <v>166</v>
      </c>
      <c r="I32" s="1" t="s">
        <v>22</v>
      </c>
      <c r="J32" s="1" t="s">
        <v>32</v>
      </c>
      <c r="K32" s="1" t="s">
        <v>33</v>
      </c>
      <c r="L32" s="1" t="s">
        <v>32</v>
      </c>
      <c r="M32" s="2">
        <v>45867</v>
      </c>
      <c r="N32" s="2" t="s">
        <v>25</v>
      </c>
      <c r="O32" s="1" t="s">
        <v>339</v>
      </c>
      <c r="P32" s="2" t="s">
        <v>25</v>
      </c>
      <c r="Q32" s="1" t="s">
        <v>26</v>
      </c>
      <c r="R32" s="7">
        <v>94946.32</v>
      </c>
      <c r="S32" s="7">
        <v>6781.88</v>
      </c>
      <c r="T32" s="7">
        <v>3366.99</v>
      </c>
      <c r="U32" s="7">
        <v>2162.85</v>
      </c>
      <c r="V32" s="7">
        <v>1252.04</v>
      </c>
      <c r="W32" s="10">
        <v>120</v>
      </c>
      <c r="X32" s="10">
        <v>154.95169999999999</v>
      </c>
    </row>
    <row r="33" spans="1:24" x14ac:dyDescent="0.25">
      <c r="A33" t="s">
        <v>167</v>
      </c>
      <c r="B33" t="s">
        <v>168</v>
      </c>
      <c r="C33" s="1" t="s">
        <v>169</v>
      </c>
      <c r="D33" s="1" t="s">
        <v>1646</v>
      </c>
      <c r="E33" s="1" t="s">
        <v>170</v>
      </c>
      <c r="F33" s="1" t="s">
        <v>1696</v>
      </c>
      <c r="G33" s="1" t="s">
        <v>1585</v>
      </c>
      <c r="H33" s="1" t="s">
        <v>40</v>
      </c>
      <c r="I33" s="1" t="s">
        <v>22</v>
      </c>
      <c r="J33" s="1" t="s">
        <v>23</v>
      </c>
      <c r="K33" s="1" t="s">
        <v>24</v>
      </c>
      <c r="L33" s="1" t="s">
        <v>23</v>
      </c>
      <c r="M33" s="2">
        <v>45155</v>
      </c>
      <c r="N33" s="2" t="s">
        <v>25</v>
      </c>
      <c r="O33" s="2" t="s">
        <v>25</v>
      </c>
      <c r="P33" s="2" t="s">
        <v>25</v>
      </c>
      <c r="Q33" s="1" t="s">
        <v>26</v>
      </c>
      <c r="R33" s="7">
        <v>85566.18</v>
      </c>
      <c r="S33" s="7">
        <v>6111.87</v>
      </c>
      <c r="T33" s="7">
        <v>3366.99</v>
      </c>
      <c r="U33" s="7">
        <v>1032.3800000000001</v>
      </c>
      <c r="V33" s="7">
        <v>1712.5</v>
      </c>
      <c r="W33" s="10">
        <v>429.85070000000002</v>
      </c>
      <c r="X33" s="10">
        <v>258.84989999999999</v>
      </c>
    </row>
    <row r="34" spans="1:24" x14ac:dyDescent="0.25">
      <c r="A34" t="s">
        <v>171</v>
      </c>
      <c r="B34" t="s">
        <v>172</v>
      </c>
      <c r="C34" s="1" t="s">
        <v>173</v>
      </c>
      <c r="D34" s="1" t="s">
        <v>1646</v>
      </c>
      <c r="E34" s="1" t="s">
        <v>174</v>
      </c>
      <c r="F34" s="1" t="s">
        <v>1696</v>
      </c>
      <c r="G34" s="1" t="s">
        <v>1585</v>
      </c>
      <c r="H34" s="1" t="s">
        <v>67</v>
      </c>
      <c r="I34" s="1" t="s">
        <v>22</v>
      </c>
      <c r="J34" s="1" t="s">
        <v>32</v>
      </c>
      <c r="K34" s="1" t="s">
        <v>33</v>
      </c>
      <c r="L34" s="1" t="s">
        <v>32</v>
      </c>
      <c r="M34" s="2">
        <v>45155</v>
      </c>
      <c r="N34" s="2" t="s">
        <v>25</v>
      </c>
      <c r="O34" s="2" t="s">
        <v>25</v>
      </c>
      <c r="P34" s="2" t="s">
        <v>25</v>
      </c>
      <c r="Q34" s="1" t="s">
        <v>26</v>
      </c>
      <c r="R34" s="7">
        <v>94946.32</v>
      </c>
      <c r="S34" s="7">
        <v>6781.88</v>
      </c>
      <c r="T34" s="7">
        <v>3366.99</v>
      </c>
      <c r="U34" s="7">
        <v>2162.85</v>
      </c>
      <c r="V34" s="7">
        <v>1252.04</v>
      </c>
      <c r="W34" s="10">
        <v>74.328400000000002</v>
      </c>
      <c r="X34" s="10">
        <v>259.74549999999999</v>
      </c>
    </row>
    <row r="35" spans="1:24" x14ac:dyDescent="0.25">
      <c r="A35" t="s">
        <v>175</v>
      </c>
      <c r="B35" t="s">
        <v>176</v>
      </c>
      <c r="C35" s="1" t="s">
        <v>177</v>
      </c>
      <c r="D35" s="1" t="s">
        <v>1647</v>
      </c>
      <c r="E35" s="1" t="s">
        <v>178</v>
      </c>
      <c r="F35" s="1" t="s">
        <v>1696</v>
      </c>
      <c r="G35" s="1" t="s">
        <v>1585</v>
      </c>
      <c r="H35" s="1" t="s">
        <v>179</v>
      </c>
      <c r="I35" s="1" t="s">
        <v>22</v>
      </c>
      <c r="J35" s="1" t="s">
        <v>32</v>
      </c>
      <c r="K35" s="1" t="s">
        <v>33</v>
      </c>
      <c r="L35" s="1" t="s">
        <v>32</v>
      </c>
      <c r="M35" s="2">
        <v>45155</v>
      </c>
      <c r="N35" s="2" t="s">
        <v>25</v>
      </c>
      <c r="O35" s="2" t="s">
        <v>25</v>
      </c>
      <c r="P35" s="2" t="s">
        <v>25</v>
      </c>
      <c r="Q35" s="1" t="s">
        <v>26</v>
      </c>
      <c r="R35" s="7">
        <v>94946.32</v>
      </c>
      <c r="S35" s="7">
        <v>6781.88</v>
      </c>
      <c r="T35" s="7">
        <v>3366.99</v>
      </c>
      <c r="U35" s="7">
        <v>2162.85</v>
      </c>
      <c r="V35" s="7">
        <v>1252.04</v>
      </c>
      <c r="W35" s="10">
        <v>54.626899999999999</v>
      </c>
      <c r="X35" s="10">
        <v>119.1247</v>
      </c>
    </row>
    <row r="36" spans="1:24" x14ac:dyDescent="0.25">
      <c r="A36" t="s">
        <v>180</v>
      </c>
      <c r="B36" t="s">
        <v>181</v>
      </c>
      <c r="C36" s="1" t="s">
        <v>182</v>
      </c>
      <c r="D36" s="1" t="s">
        <v>1646</v>
      </c>
      <c r="E36" s="1" t="s">
        <v>183</v>
      </c>
      <c r="F36" s="1" t="s">
        <v>1696</v>
      </c>
      <c r="G36" s="1" t="s">
        <v>1585</v>
      </c>
      <c r="H36" s="1" t="s">
        <v>184</v>
      </c>
      <c r="I36" s="1" t="s">
        <v>22</v>
      </c>
      <c r="J36" s="1" t="s">
        <v>23</v>
      </c>
      <c r="K36" s="1" t="s">
        <v>24</v>
      </c>
      <c r="L36" s="1" t="s">
        <v>23</v>
      </c>
      <c r="M36" s="2">
        <v>45155</v>
      </c>
      <c r="N36" s="2" t="s">
        <v>25</v>
      </c>
      <c r="O36" s="2" t="s">
        <v>25</v>
      </c>
      <c r="P36" s="2" t="s">
        <v>25</v>
      </c>
      <c r="Q36" s="1" t="s">
        <v>26</v>
      </c>
      <c r="R36" s="7">
        <v>94946.32</v>
      </c>
      <c r="S36" s="7">
        <v>6781.88</v>
      </c>
      <c r="T36" s="7">
        <v>3366.99</v>
      </c>
      <c r="U36" s="7">
        <v>2162.85</v>
      </c>
      <c r="V36" s="7">
        <v>1252.04</v>
      </c>
      <c r="W36" s="10">
        <v>429.85070000000002</v>
      </c>
      <c r="X36" s="10">
        <v>238.24940000000001</v>
      </c>
    </row>
    <row r="37" spans="1:24" x14ac:dyDescent="0.25">
      <c r="A37" t="s">
        <v>185</v>
      </c>
      <c r="B37" t="s">
        <v>186</v>
      </c>
      <c r="C37" s="1" t="s">
        <v>187</v>
      </c>
      <c r="D37" s="1" t="s">
        <v>1647</v>
      </c>
      <c r="E37" s="1" t="s">
        <v>188</v>
      </c>
      <c r="F37" s="1" t="s">
        <v>1696</v>
      </c>
      <c r="G37" s="1" t="s">
        <v>1585</v>
      </c>
      <c r="H37" s="1" t="s">
        <v>189</v>
      </c>
      <c r="I37" s="1" t="s">
        <v>22</v>
      </c>
      <c r="J37" s="1" t="s">
        <v>41</v>
      </c>
      <c r="K37" s="1" t="s">
        <v>42</v>
      </c>
      <c r="L37" s="1" t="s">
        <v>41</v>
      </c>
      <c r="M37" s="2">
        <v>45155</v>
      </c>
      <c r="N37" s="2" t="s">
        <v>25</v>
      </c>
      <c r="O37" s="2" t="s">
        <v>25</v>
      </c>
      <c r="P37" s="2" t="s">
        <v>25</v>
      </c>
      <c r="Q37" s="1" t="s">
        <v>26</v>
      </c>
      <c r="R37" s="7">
        <v>94946.32</v>
      </c>
      <c r="S37" s="7">
        <v>6781.88</v>
      </c>
      <c r="T37" s="7">
        <v>3366.99</v>
      </c>
      <c r="U37" s="7">
        <v>2162.85</v>
      </c>
      <c r="V37" s="7">
        <v>1252.04</v>
      </c>
      <c r="W37" s="10">
        <v>193.43279999999999</v>
      </c>
      <c r="X37" s="10">
        <v>30.4529</v>
      </c>
    </row>
    <row r="38" spans="1:24" x14ac:dyDescent="0.25">
      <c r="A38" t="s">
        <v>190</v>
      </c>
      <c r="B38" t="s">
        <v>191</v>
      </c>
      <c r="C38" s="1" t="s">
        <v>192</v>
      </c>
      <c r="D38" s="1" t="s">
        <v>1647</v>
      </c>
      <c r="E38" s="1" t="s">
        <v>193</v>
      </c>
      <c r="F38" s="1" t="s">
        <v>1697</v>
      </c>
      <c r="G38" s="1" t="s">
        <v>1666</v>
      </c>
      <c r="H38" s="1" t="s">
        <v>194</v>
      </c>
      <c r="I38" s="1" t="s">
        <v>22</v>
      </c>
      <c r="J38" s="1" t="s">
        <v>32</v>
      </c>
      <c r="K38" s="1" t="s">
        <v>33</v>
      </c>
      <c r="L38" s="1" t="s">
        <v>32</v>
      </c>
      <c r="M38" s="2">
        <v>45155</v>
      </c>
      <c r="N38" s="2" t="s">
        <v>25</v>
      </c>
      <c r="O38" s="2" t="s">
        <v>25</v>
      </c>
      <c r="P38" s="2" t="s">
        <v>25</v>
      </c>
      <c r="Q38" s="1" t="s">
        <v>26</v>
      </c>
      <c r="R38" s="7">
        <v>230911.66</v>
      </c>
      <c r="S38" s="7">
        <v>16493.689999999999</v>
      </c>
      <c r="T38" s="7">
        <v>3366.99</v>
      </c>
      <c r="U38" s="7">
        <v>2162.85</v>
      </c>
      <c r="V38" s="7">
        <v>10963.85</v>
      </c>
      <c r="W38" s="10">
        <v>241.791</v>
      </c>
      <c r="X38" s="10">
        <v>342.14760000000001</v>
      </c>
    </row>
    <row r="39" spans="1:24" x14ac:dyDescent="0.25">
      <c r="A39" t="s">
        <v>195</v>
      </c>
      <c r="B39" t="s">
        <v>196</v>
      </c>
      <c r="C39" s="1" t="s">
        <v>197</v>
      </c>
      <c r="D39" s="1" t="s">
        <v>1646</v>
      </c>
      <c r="E39" s="1" t="s">
        <v>198</v>
      </c>
      <c r="F39" s="1" t="s">
        <v>1696</v>
      </c>
      <c r="G39" s="1" t="s">
        <v>1585</v>
      </c>
      <c r="H39" s="1" t="s">
        <v>199</v>
      </c>
      <c r="I39" s="1" t="s">
        <v>22</v>
      </c>
      <c r="J39" s="1" t="s">
        <v>32</v>
      </c>
      <c r="K39" s="1" t="s">
        <v>33</v>
      </c>
      <c r="L39" s="1" t="s">
        <v>32</v>
      </c>
      <c r="M39" s="2">
        <v>45155</v>
      </c>
      <c r="N39" s="2" t="s">
        <v>25</v>
      </c>
      <c r="O39" s="2" t="s">
        <v>25</v>
      </c>
      <c r="P39" s="2" t="s">
        <v>25</v>
      </c>
      <c r="Q39" s="1" t="s">
        <v>26</v>
      </c>
      <c r="R39" s="7">
        <v>94946.32</v>
      </c>
      <c r="S39" s="7">
        <v>6781.88</v>
      </c>
      <c r="T39" s="7">
        <v>3366.99</v>
      </c>
      <c r="U39" s="7">
        <v>2162.85</v>
      </c>
      <c r="V39" s="7">
        <v>1252.04</v>
      </c>
      <c r="W39" s="10">
        <v>74.328400000000002</v>
      </c>
      <c r="X39" s="10">
        <v>237.3537</v>
      </c>
    </row>
    <row r="40" spans="1:24" x14ac:dyDescent="0.25">
      <c r="A40" t="s">
        <v>200</v>
      </c>
      <c r="B40" t="s">
        <v>201</v>
      </c>
      <c r="C40" s="1" t="s">
        <v>202</v>
      </c>
      <c r="D40" s="1" t="s">
        <v>1646</v>
      </c>
      <c r="E40" s="1" t="s">
        <v>203</v>
      </c>
      <c r="F40" s="1" t="s">
        <v>1696</v>
      </c>
      <c r="G40" s="1" t="s">
        <v>1585</v>
      </c>
      <c r="H40" s="1" t="s">
        <v>204</v>
      </c>
      <c r="I40" s="1" t="s">
        <v>22</v>
      </c>
      <c r="J40" s="1" t="s">
        <v>41</v>
      </c>
      <c r="K40" s="1" t="s">
        <v>42</v>
      </c>
      <c r="L40" s="1" t="s">
        <v>41</v>
      </c>
      <c r="M40" s="2">
        <v>45155</v>
      </c>
      <c r="N40" s="2" t="s">
        <v>25</v>
      </c>
      <c r="O40" s="2" t="s">
        <v>25</v>
      </c>
      <c r="P40" s="2" t="s">
        <v>25</v>
      </c>
      <c r="Q40" s="1" t="s">
        <v>26</v>
      </c>
      <c r="R40" s="7">
        <v>94946.32</v>
      </c>
      <c r="S40" s="7">
        <v>6781.88</v>
      </c>
      <c r="T40" s="7">
        <v>3366.99</v>
      </c>
      <c r="U40" s="7">
        <v>2162.85</v>
      </c>
      <c r="V40" s="7">
        <v>1252.04</v>
      </c>
      <c r="W40" s="10">
        <v>146.8657</v>
      </c>
      <c r="X40" s="10">
        <v>22.3919</v>
      </c>
    </row>
    <row r="41" spans="1:24" x14ac:dyDescent="0.25">
      <c r="A41" t="s">
        <v>205</v>
      </c>
      <c r="B41" t="s">
        <v>206</v>
      </c>
      <c r="C41" s="1" t="s">
        <v>207</v>
      </c>
      <c r="D41" s="1" t="s">
        <v>1646</v>
      </c>
      <c r="E41" s="1" t="s">
        <v>208</v>
      </c>
      <c r="F41" s="1" t="s">
        <v>1696</v>
      </c>
      <c r="G41" s="1" t="s">
        <v>1585</v>
      </c>
      <c r="H41" s="1" t="s">
        <v>31</v>
      </c>
      <c r="I41" s="1" t="s">
        <v>22</v>
      </c>
      <c r="J41" s="1" t="s">
        <v>23</v>
      </c>
      <c r="K41" s="1" t="s">
        <v>24</v>
      </c>
      <c r="L41" s="1" t="s">
        <v>23</v>
      </c>
      <c r="M41" s="2">
        <v>46031</v>
      </c>
      <c r="N41" s="2" t="s">
        <v>25</v>
      </c>
      <c r="O41" s="2" t="s">
        <v>25</v>
      </c>
      <c r="P41" s="1" t="s">
        <v>630</v>
      </c>
      <c r="Q41" s="1" t="s">
        <v>26</v>
      </c>
      <c r="R41" s="7">
        <v>89103.7</v>
      </c>
      <c r="S41" s="7">
        <v>6364.55</v>
      </c>
      <c r="T41" s="7">
        <v>3366.99</v>
      </c>
      <c r="U41" s="7">
        <v>2162.85</v>
      </c>
      <c r="V41" s="7">
        <v>834.71</v>
      </c>
      <c r="W41" s="10">
        <v>471.94029999999998</v>
      </c>
      <c r="X41" s="10">
        <v>174.65649999999999</v>
      </c>
    </row>
    <row r="42" spans="1:24" x14ac:dyDescent="0.25">
      <c r="A42" t="s">
        <v>209</v>
      </c>
      <c r="B42" t="s">
        <v>210</v>
      </c>
      <c r="C42" s="1" t="s">
        <v>211</v>
      </c>
      <c r="D42" s="1" t="s">
        <v>1646</v>
      </c>
      <c r="E42" s="1" t="s">
        <v>212</v>
      </c>
      <c r="F42" s="1" t="s">
        <v>1696</v>
      </c>
      <c r="G42" s="1" t="s">
        <v>1585</v>
      </c>
      <c r="H42" s="1" t="s">
        <v>213</v>
      </c>
      <c r="I42" s="1" t="s">
        <v>22</v>
      </c>
      <c r="J42" s="1" t="s">
        <v>32</v>
      </c>
      <c r="K42" s="1" t="s">
        <v>33</v>
      </c>
      <c r="L42" s="1" t="s">
        <v>32</v>
      </c>
      <c r="M42" s="2">
        <v>45155</v>
      </c>
      <c r="N42" s="2" t="s">
        <v>25</v>
      </c>
      <c r="O42" s="2" t="s">
        <v>25</v>
      </c>
      <c r="P42" s="2" t="s">
        <v>25</v>
      </c>
      <c r="Q42" s="1" t="s">
        <v>26</v>
      </c>
      <c r="R42" s="7">
        <v>94946.32</v>
      </c>
      <c r="S42" s="7">
        <v>6781.88</v>
      </c>
      <c r="T42" s="7">
        <v>3366.99</v>
      </c>
      <c r="U42" s="7">
        <v>2162.85</v>
      </c>
      <c r="V42" s="7">
        <v>1252.04</v>
      </c>
      <c r="W42" s="10">
        <v>61.790999999999997</v>
      </c>
      <c r="X42" s="10">
        <v>157.6387</v>
      </c>
    </row>
    <row r="43" spans="1:24" x14ac:dyDescent="0.25">
      <c r="A43" t="s">
        <v>214</v>
      </c>
      <c r="B43" t="s">
        <v>215</v>
      </c>
      <c r="C43" s="1" t="s">
        <v>216</v>
      </c>
      <c r="D43" s="1" t="s">
        <v>1646</v>
      </c>
      <c r="E43" s="1" t="s">
        <v>217</v>
      </c>
      <c r="F43" s="1" t="s">
        <v>1696</v>
      </c>
      <c r="G43" s="1" t="s">
        <v>1585</v>
      </c>
      <c r="H43" s="1" t="s">
        <v>67</v>
      </c>
      <c r="I43" s="1" t="s">
        <v>22</v>
      </c>
      <c r="J43" s="1" t="s">
        <v>125</v>
      </c>
      <c r="K43" s="1" t="s">
        <v>124</v>
      </c>
      <c r="L43" s="1" t="s">
        <v>125</v>
      </c>
      <c r="M43" s="2">
        <v>45155</v>
      </c>
      <c r="N43" s="2" t="s">
        <v>25</v>
      </c>
      <c r="O43" s="2" t="s">
        <v>25</v>
      </c>
      <c r="P43" s="2" t="s">
        <v>25</v>
      </c>
      <c r="Q43" s="1" t="s">
        <v>26</v>
      </c>
      <c r="R43" s="7">
        <v>94946.32</v>
      </c>
      <c r="S43" s="7">
        <v>6781.88</v>
      </c>
      <c r="T43" s="7">
        <v>3366.99</v>
      </c>
      <c r="U43" s="7">
        <v>2162.85</v>
      </c>
      <c r="V43" s="7">
        <v>1252.04</v>
      </c>
      <c r="W43" s="10">
        <v>213.1343</v>
      </c>
      <c r="X43" s="10">
        <v>104.79389999999999</v>
      </c>
    </row>
    <row r="44" spans="1:24" x14ac:dyDescent="0.25">
      <c r="A44" t="s">
        <v>218</v>
      </c>
      <c r="B44" t="s">
        <v>219</v>
      </c>
      <c r="C44" s="1" t="s">
        <v>220</v>
      </c>
      <c r="D44" s="1" t="s">
        <v>1646</v>
      </c>
      <c r="E44" s="1" t="s">
        <v>221</v>
      </c>
      <c r="F44" s="1" t="s">
        <v>1696</v>
      </c>
      <c r="G44" s="1" t="s">
        <v>1585</v>
      </c>
      <c r="H44" s="1" t="s">
        <v>222</v>
      </c>
      <c r="I44" s="1" t="s">
        <v>22</v>
      </c>
      <c r="J44" s="1" t="s">
        <v>23</v>
      </c>
      <c r="K44" s="1" t="s">
        <v>24</v>
      </c>
      <c r="L44" s="1" t="s">
        <v>23</v>
      </c>
      <c r="M44" s="2">
        <v>45365</v>
      </c>
      <c r="N44" s="2" t="s">
        <v>25</v>
      </c>
      <c r="O44" s="1" t="s">
        <v>441</v>
      </c>
      <c r="P44" s="2" t="s">
        <v>25</v>
      </c>
      <c r="Q44" s="1" t="s">
        <v>26</v>
      </c>
      <c r="R44" s="7">
        <v>94946.32</v>
      </c>
      <c r="S44" s="7">
        <v>6781.88</v>
      </c>
      <c r="T44" s="7">
        <v>3366.99</v>
      </c>
      <c r="U44" s="7">
        <v>2162.85</v>
      </c>
      <c r="V44" s="7">
        <v>1252.04</v>
      </c>
      <c r="W44" s="10">
        <v>452.23880000000003</v>
      </c>
      <c r="X44" s="10">
        <v>344.83460000000002</v>
      </c>
    </row>
    <row r="45" spans="1:24" x14ac:dyDescent="0.25">
      <c r="A45" t="s">
        <v>223</v>
      </c>
      <c r="B45" t="s">
        <v>224</v>
      </c>
      <c r="C45" s="1" t="s">
        <v>225</v>
      </c>
      <c r="D45" s="1" t="s">
        <v>1647</v>
      </c>
      <c r="E45" s="1" t="s">
        <v>226</v>
      </c>
      <c r="F45" s="1" t="s">
        <v>1696</v>
      </c>
      <c r="G45" s="1" t="s">
        <v>1585</v>
      </c>
      <c r="H45" s="1" t="s">
        <v>227</v>
      </c>
      <c r="I45" s="1" t="s">
        <v>22</v>
      </c>
      <c r="J45" s="1" t="s">
        <v>123</v>
      </c>
      <c r="K45" s="1" t="s">
        <v>149</v>
      </c>
      <c r="L45" s="1" t="s">
        <v>123</v>
      </c>
      <c r="M45" s="2">
        <v>45155</v>
      </c>
      <c r="N45" s="2">
        <v>45559</v>
      </c>
      <c r="O45" s="2" t="s">
        <v>25</v>
      </c>
      <c r="P45" s="1" t="s">
        <v>506</v>
      </c>
      <c r="Q45" s="1" t="s">
        <v>35</v>
      </c>
      <c r="R45" s="7">
        <v>104871.76</v>
      </c>
      <c r="S45" s="7">
        <v>7490.84</v>
      </c>
      <c r="T45" s="7">
        <v>3142.14</v>
      </c>
      <c r="U45" s="7">
        <v>2018.41</v>
      </c>
      <c r="V45" s="7">
        <v>2330.29</v>
      </c>
      <c r="W45" s="10">
        <v>275.82089999999999</v>
      </c>
      <c r="X45" s="10">
        <v>104.79389999999999</v>
      </c>
    </row>
    <row r="46" spans="1:24" x14ac:dyDescent="0.25">
      <c r="A46" t="s">
        <v>228</v>
      </c>
      <c r="B46" t="s">
        <v>229</v>
      </c>
      <c r="C46" s="1" t="s">
        <v>230</v>
      </c>
      <c r="D46" s="1" t="s">
        <v>1647</v>
      </c>
      <c r="E46" s="1" t="s">
        <v>231</v>
      </c>
      <c r="F46" s="1" t="s">
        <v>1696</v>
      </c>
      <c r="G46" s="1" t="s">
        <v>1585</v>
      </c>
      <c r="H46" s="1" t="s">
        <v>67</v>
      </c>
      <c r="I46" s="1" t="s">
        <v>22</v>
      </c>
      <c r="J46" s="1" t="s">
        <v>32</v>
      </c>
      <c r="K46" s="1" t="s">
        <v>33</v>
      </c>
      <c r="L46" s="1" t="s">
        <v>32</v>
      </c>
      <c r="M46" s="2">
        <v>45155</v>
      </c>
      <c r="N46" s="2">
        <v>45175</v>
      </c>
      <c r="O46" s="2" t="s">
        <v>25</v>
      </c>
      <c r="P46" s="1" t="s">
        <v>406</v>
      </c>
      <c r="Q46" s="1" t="s">
        <v>35</v>
      </c>
      <c r="R46" s="7">
        <v>236710.04</v>
      </c>
      <c r="S46" s="7">
        <v>16907.86</v>
      </c>
      <c r="T46" s="7">
        <v>3126.89</v>
      </c>
      <c r="U46" s="7">
        <v>2008.61</v>
      </c>
      <c r="V46" s="7">
        <v>11772.36</v>
      </c>
      <c r="W46" s="10">
        <v>28.656700000000001</v>
      </c>
      <c r="X46" s="10">
        <v>291.09410000000003</v>
      </c>
    </row>
    <row r="47" spans="1:24" x14ac:dyDescent="0.25">
      <c r="A47" t="s">
        <v>232</v>
      </c>
      <c r="B47" t="s">
        <v>233</v>
      </c>
      <c r="C47" s="1" t="s">
        <v>234</v>
      </c>
      <c r="D47" s="1" t="s">
        <v>1646</v>
      </c>
      <c r="E47" s="1" t="s">
        <v>235</v>
      </c>
      <c r="F47" s="1" t="s">
        <v>1696</v>
      </c>
      <c r="G47" s="1" t="s">
        <v>1585</v>
      </c>
      <c r="H47" s="1" t="s">
        <v>56</v>
      </c>
      <c r="I47" s="1" t="s">
        <v>22</v>
      </c>
      <c r="J47" s="1" t="s">
        <v>23</v>
      </c>
      <c r="K47" s="1" t="s">
        <v>24</v>
      </c>
      <c r="L47" s="1" t="s">
        <v>23</v>
      </c>
      <c r="M47" s="2">
        <v>45443</v>
      </c>
      <c r="N47" s="2" t="s">
        <v>25</v>
      </c>
      <c r="O47" s="1" t="s">
        <v>1115</v>
      </c>
      <c r="P47" s="2" t="s">
        <v>25</v>
      </c>
      <c r="Q47" s="1" t="s">
        <v>26</v>
      </c>
      <c r="R47" s="7">
        <v>89103.7</v>
      </c>
      <c r="S47" s="7">
        <v>6364.55</v>
      </c>
      <c r="T47" s="7">
        <v>3366.99</v>
      </c>
      <c r="U47" s="7">
        <v>2162.85</v>
      </c>
      <c r="V47" s="7">
        <v>834.71</v>
      </c>
      <c r="W47" s="10">
        <v>328.6567</v>
      </c>
      <c r="X47" s="10">
        <v>19.704799999999999</v>
      </c>
    </row>
    <row r="48" spans="1:24" x14ac:dyDescent="0.25">
      <c r="A48" t="s">
        <v>236</v>
      </c>
      <c r="B48" t="s">
        <v>237</v>
      </c>
      <c r="C48" s="1" t="s">
        <v>238</v>
      </c>
      <c r="D48" s="1" t="s">
        <v>1647</v>
      </c>
      <c r="E48" s="1" t="s">
        <v>239</v>
      </c>
      <c r="F48" s="1" t="s">
        <v>1696</v>
      </c>
      <c r="G48" s="1" t="s">
        <v>1585</v>
      </c>
      <c r="H48" s="1" t="s">
        <v>95</v>
      </c>
      <c r="I48" s="1" t="s">
        <v>22</v>
      </c>
      <c r="J48" s="1" t="s">
        <v>23</v>
      </c>
      <c r="K48" s="1" t="s">
        <v>24</v>
      </c>
      <c r="L48" s="1" t="s">
        <v>23</v>
      </c>
      <c r="M48" s="2">
        <v>45155</v>
      </c>
      <c r="N48" s="2" t="s">
        <v>25</v>
      </c>
      <c r="O48" s="2" t="s">
        <v>25</v>
      </c>
      <c r="P48" s="2" t="s">
        <v>25</v>
      </c>
      <c r="Q48" s="1" t="s">
        <v>26</v>
      </c>
      <c r="R48" s="7">
        <v>101392.76</v>
      </c>
      <c r="S48" s="7">
        <v>7242.34</v>
      </c>
      <c r="T48" s="7">
        <v>3366.99</v>
      </c>
      <c r="U48" s="7">
        <v>2162.85</v>
      </c>
      <c r="V48" s="7">
        <v>1712.5</v>
      </c>
      <c r="W48" s="10">
        <v>405.67160000000001</v>
      </c>
      <c r="X48" s="10">
        <v>238.24940000000001</v>
      </c>
    </row>
    <row r="49" spans="1:24" x14ac:dyDescent="0.25">
      <c r="A49" t="s">
        <v>240</v>
      </c>
      <c r="B49" t="s">
        <v>241</v>
      </c>
      <c r="C49" s="1" t="s">
        <v>242</v>
      </c>
      <c r="D49" s="1" t="s">
        <v>1647</v>
      </c>
      <c r="E49" s="1" t="s">
        <v>243</v>
      </c>
      <c r="F49" s="1" t="s">
        <v>1696</v>
      </c>
      <c r="G49" s="1" t="s">
        <v>1585</v>
      </c>
      <c r="H49" s="1" t="s">
        <v>244</v>
      </c>
      <c r="I49" s="1" t="s">
        <v>22</v>
      </c>
      <c r="J49" s="1" t="s">
        <v>125</v>
      </c>
      <c r="K49" s="1" t="s">
        <v>245</v>
      </c>
      <c r="L49" s="1" t="s">
        <v>34</v>
      </c>
      <c r="M49" s="2">
        <v>45155</v>
      </c>
      <c r="N49" s="2" t="s">
        <v>25</v>
      </c>
      <c r="O49" s="2" t="s">
        <v>25</v>
      </c>
      <c r="P49" s="2" t="s">
        <v>25</v>
      </c>
      <c r="Q49" s="1" t="s">
        <v>26</v>
      </c>
      <c r="R49" s="7">
        <v>123883.48</v>
      </c>
      <c r="S49" s="7">
        <v>8848.82</v>
      </c>
      <c r="T49" s="7">
        <v>3366.99</v>
      </c>
      <c r="U49" s="7">
        <v>1032.3800000000001</v>
      </c>
      <c r="V49" s="7">
        <v>4449.45</v>
      </c>
      <c r="W49" s="10">
        <v>262.38810000000001</v>
      </c>
      <c r="X49" s="10">
        <v>75.236599999999996</v>
      </c>
    </row>
    <row r="50" spans="1:24" x14ac:dyDescent="0.25">
      <c r="A50" t="s">
        <v>246</v>
      </c>
      <c r="B50" t="s">
        <v>247</v>
      </c>
      <c r="C50" s="1" t="s">
        <v>248</v>
      </c>
      <c r="D50" s="1" t="s">
        <v>1646</v>
      </c>
      <c r="E50" s="1" t="s">
        <v>249</v>
      </c>
      <c r="F50" s="1" t="s">
        <v>1696</v>
      </c>
      <c r="G50" s="1" t="s">
        <v>1585</v>
      </c>
      <c r="H50" s="1" t="s">
        <v>250</v>
      </c>
      <c r="I50" s="1" t="s">
        <v>22</v>
      </c>
      <c r="J50" s="1" t="s">
        <v>23</v>
      </c>
      <c r="K50" s="1" t="s">
        <v>24</v>
      </c>
      <c r="L50" s="1" t="s">
        <v>23</v>
      </c>
      <c r="M50" s="2">
        <v>45155</v>
      </c>
      <c r="N50" s="2" t="s">
        <v>25</v>
      </c>
      <c r="O50" s="2" t="s">
        <v>25</v>
      </c>
      <c r="P50" s="2" t="s">
        <v>25</v>
      </c>
      <c r="Q50" s="1" t="s">
        <v>26</v>
      </c>
      <c r="R50" s="7">
        <v>94946.32</v>
      </c>
      <c r="S50" s="7">
        <v>6781.88</v>
      </c>
      <c r="T50" s="7">
        <v>3366.99</v>
      </c>
      <c r="U50" s="7">
        <v>2162.85</v>
      </c>
      <c r="V50" s="7">
        <v>1252.04</v>
      </c>
      <c r="W50" s="10">
        <v>454.0299</v>
      </c>
      <c r="X50" s="10">
        <v>236.458</v>
      </c>
    </row>
    <row r="51" spans="1:24" x14ac:dyDescent="0.25">
      <c r="A51" t="s">
        <v>251</v>
      </c>
      <c r="B51" t="s">
        <v>252</v>
      </c>
      <c r="C51" s="1" t="s">
        <v>253</v>
      </c>
      <c r="D51" s="1" t="s">
        <v>1646</v>
      </c>
      <c r="E51" s="1" t="s">
        <v>254</v>
      </c>
      <c r="F51" s="1" t="s">
        <v>1696</v>
      </c>
      <c r="G51" s="1" t="s">
        <v>1585</v>
      </c>
      <c r="H51" s="1" t="s">
        <v>179</v>
      </c>
      <c r="I51" s="1" t="s">
        <v>22</v>
      </c>
      <c r="J51" s="1" t="s">
        <v>23</v>
      </c>
      <c r="K51" s="1" t="s">
        <v>24</v>
      </c>
      <c r="L51" s="1" t="s">
        <v>23</v>
      </c>
      <c r="M51" s="2">
        <v>45155</v>
      </c>
      <c r="N51" s="2" t="s">
        <v>25</v>
      </c>
      <c r="O51" s="2" t="s">
        <v>25</v>
      </c>
      <c r="P51" s="2" t="s">
        <v>25</v>
      </c>
      <c r="Q51" s="1" t="s">
        <v>26</v>
      </c>
      <c r="R51" s="7">
        <v>89103.7</v>
      </c>
      <c r="S51" s="7">
        <v>6364.55</v>
      </c>
      <c r="T51" s="7">
        <v>3366.99</v>
      </c>
      <c r="U51" s="7">
        <v>2162.85</v>
      </c>
      <c r="V51" s="7">
        <v>834.71</v>
      </c>
      <c r="W51" s="10">
        <v>460.29849999999999</v>
      </c>
      <c r="X51" s="10">
        <v>137.93379999999999</v>
      </c>
    </row>
    <row r="52" spans="1:24" x14ac:dyDescent="0.25">
      <c r="A52" t="s">
        <v>255</v>
      </c>
      <c r="B52" t="s">
        <v>256</v>
      </c>
      <c r="C52" s="1" t="s">
        <v>257</v>
      </c>
      <c r="D52" s="1" t="s">
        <v>1646</v>
      </c>
      <c r="E52" s="1" t="s">
        <v>258</v>
      </c>
      <c r="F52" s="1" t="s">
        <v>1696</v>
      </c>
      <c r="G52" s="1" t="s">
        <v>1585</v>
      </c>
      <c r="H52" s="1" t="s">
        <v>259</v>
      </c>
      <c r="I52" s="1" t="s">
        <v>22</v>
      </c>
      <c r="J52" s="1" t="s">
        <v>23</v>
      </c>
      <c r="K52" s="1" t="s">
        <v>24</v>
      </c>
      <c r="L52" s="1" t="s">
        <v>23</v>
      </c>
      <c r="M52" s="2">
        <v>45155</v>
      </c>
      <c r="N52" s="2" t="s">
        <v>25</v>
      </c>
      <c r="O52" s="2" t="s">
        <v>25</v>
      </c>
      <c r="P52" s="2" t="s">
        <v>25</v>
      </c>
      <c r="Q52" s="1" t="s">
        <v>26</v>
      </c>
      <c r="R52" s="7">
        <v>94946.32</v>
      </c>
      <c r="S52" s="7">
        <v>6781.88</v>
      </c>
      <c r="T52" s="7">
        <v>3366.99</v>
      </c>
      <c r="U52" s="7">
        <v>2162.85</v>
      </c>
      <c r="V52" s="7">
        <v>1252.04</v>
      </c>
      <c r="W52" s="10">
        <v>358.209</v>
      </c>
      <c r="X52" s="10">
        <v>259.74549999999999</v>
      </c>
    </row>
    <row r="53" spans="1:24" x14ac:dyDescent="0.25">
      <c r="A53" t="s">
        <v>260</v>
      </c>
      <c r="B53" t="s">
        <v>261</v>
      </c>
      <c r="C53" s="1" t="s">
        <v>262</v>
      </c>
      <c r="D53" s="1" t="s">
        <v>1646</v>
      </c>
      <c r="E53" s="1" t="s">
        <v>263</v>
      </c>
      <c r="F53" s="1" t="s">
        <v>1697</v>
      </c>
      <c r="G53" s="1" t="s">
        <v>1670</v>
      </c>
      <c r="H53" s="1" t="s">
        <v>264</v>
      </c>
      <c r="I53" s="1" t="s">
        <v>22</v>
      </c>
      <c r="J53" s="1" t="s">
        <v>23</v>
      </c>
      <c r="K53" s="1" t="s">
        <v>24</v>
      </c>
      <c r="L53" s="1" t="s">
        <v>23</v>
      </c>
      <c r="M53" s="2">
        <v>45155</v>
      </c>
      <c r="N53" s="2" t="s">
        <v>25</v>
      </c>
      <c r="O53" s="2" t="s">
        <v>25</v>
      </c>
      <c r="P53" s="2" t="s">
        <v>25</v>
      </c>
      <c r="Q53" s="1" t="s">
        <v>26</v>
      </c>
      <c r="R53" s="7">
        <v>144074</v>
      </c>
      <c r="S53" s="7">
        <v>10291</v>
      </c>
      <c r="T53" s="7">
        <v>3366.99</v>
      </c>
      <c r="U53" s="7">
        <v>2162.85</v>
      </c>
      <c r="V53" s="7">
        <v>4761.16</v>
      </c>
      <c r="W53" s="10">
        <v>220.29849999999999</v>
      </c>
      <c r="X53" s="10">
        <v>342.14760000000001</v>
      </c>
    </row>
    <row r="54" spans="1:24" x14ac:dyDescent="0.25">
      <c r="A54" t="s">
        <v>265</v>
      </c>
      <c r="B54" t="s">
        <v>266</v>
      </c>
      <c r="C54" s="1" t="s">
        <v>267</v>
      </c>
      <c r="D54" s="1" t="s">
        <v>1646</v>
      </c>
      <c r="E54" s="1" t="s">
        <v>268</v>
      </c>
      <c r="F54" s="1" t="s">
        <v>1696</v>
      </c>
      <c r="G54" s="1" t="s">
        <v>1585</v>
      </c>
      <c r="H54" s="1" t="s">
        <v>139</v>
      </c>
      <c r="I54" s="1" t="s">
        <v>22</v>
      </c>
      <c r="J54" s="1" t="s">
        <v>32</v>
      </c>
      <c r="K54" s="1" t="s">
        <v>33</v>
      </c>
      <c r="L54" s="1" t="s">
        <v>32</v>
      </c>
      <c r="M54" s="2">
        <v>45812</v>
      </c>
      <c r="N54" s="2" t="s">
        <v>25</v>
      </c>
      <c r="O54" s="1" t="s">
        <v>694</v>
      </c>
      <c r="P54" s="2" t="s">
        <v>25</v>
      </c>
      <c r="Q54" s="1" t="s">
        <v>26</v>
      </c>
      <c r="R54" s="7">
        <v>89103.7</v>
      </c>
      <c r="S54" s="7">
        <v>6364.55</v>
      </c>
      <c r="T54" s="7">
        <v>3366.99</v>
      </c>
      <c r="U54" s="7">
        <v>2162.85</v>
      </c>
      <c r="V54" s="7">
        <v>834.71</v>
      </c>
      <c r="W54" s="10">
        <v>87.761200000000002</v>
      </c>
      <c r="X54" s="10">
        <v>51.949100000000001</v>
      </c>
    </row>
    <row r="55" spans="1:24" x14ac:dyDescent="0.25">
      <c r="A55" t="s">
        <v>269</v>
      </c>
      <c r="B55" t="s">
        <v>270</v>
      </c>
      <c r="C55" s="1" t="s">
        <v>271</v>
      </c>
      <c r="D55" s="1" t="s">
        <v>1647</v>
      </c>
      <c r="E55" s="1" t="s">
        <v>272</v>
      </c>
      <c r="F55" s="1" t="s">
        <v>1696</v>
      </c>
      <c r="G55" s="1" t="s">
        <v>1585</v>
      </c>
      <c r="H55" s="1" t="s">
        <v>213</v>
      </c>
      <c r="I55" s="1" t="s">
        <v>22</v>
      </c>
      <c r="J55" s="1" t="s">
        <v>32</v>
      </c>
      <c r="K55" s="1" t="s">
        <v>33</v>
      </c>
      <c r="L55" s="1" t="s">
        <v>32</v>
      </c>
      <c r="M55" s="2">
        <v>45155</v>
      </c>
      <c r="N55" s="2" t="s">
        <v>25</v>
      </c>
      <c r="O55" s="2" t="s">
        <v>25</v>
      </c>
      <c r="P55" s="2" t="s">
        <v>25</v>
      </c>
      <c r="Q55" s="1" t="s">
        <v>26</v>
      </c>
      <c r="R55" s="7">
        <v>129905.02</v>
      </c>
      <c r="S55" s="7">
        <v>9278.93</v>
      </c>
      <c r="T55" s="7">
        <v>3366.99</v>
      </c>
      <c r="U55" s="7">
        <v>2162.85</v>
      </c>
      <c r="V55" s="7">
        <v>3749.09</v>
      </c>
      <c r="W55" s="10">
        <v>145.0746</v>
      </c>
      <c r="X55" s="10">
        <v>226.60560000000001</v>
      </c>
    </row>
    <row r="56" spans="1:24" x14ac:dyDescent="0.25">
      <c r="A56" t="s">
        <v>273</v>
      </c>
      <c r="B56" t="s">
        <v>274</v>
      </c>
      <c r="C56" s="1" t="s">
        <v>275</v>
      </c>
      <c r="D56" s="1" t="s">
        <v>1647</v>
      </c>
      <c r="E56" s="1" t="s">
        <v>276</v>
      </c>
      <c r="F56" s="1" t="s">
        <v>1696</v>
      </c>
      <c r="G56" s="1" t="s">
        <v>1585</v>
      </c>
      <c r="H56" s="1" t="s">
        <v>227</v>
      </c>
      <c r="I56" s="1" t="s">
        <v>22</v>
      </c>
      <c r="J56" s="1" t="s">
        <v>123</v>
      </c>
      <c r="K56" s="1" t="s">
        <v>124</v>
      </c>
      <c r="L56" s="1" t="s">
        <v>125</v>
      </c>
      <c r="M56" s="2">
        <v>45155</v>
      </c>
      <c r="N56" s="2" t="s">
        <v>25</v>
      </c>
      <c r="O56" s="2" t="s">
        <v>25</v>
      </c>
      <c r="P56" s="2" t="s">
        <v>25</v>
      </c>
      <c r="Q56" s="1" t="s">
        <v>26</v>
      </c>
      <c r="R56" s="7">
        <v>94946.32</v>
      </c>
      <c r="S56" s="7">
        <v>6781.88</v>
      </c>
      <c r="T56" s="7">
        <v>3366.99</v>
      </c>
      <c r="U56" s="7">
        <v>2162.85</v>
      </c>
      <c r="V56" s="7">
        <v>1252.04</v>
      </c>
      <c r="W56" s="10">
        <v>202.38810000000001</v>
      </c>
      <c r="X56" s="10">
        <v>131.66409999999999</v>
      </c>
    </row>
    <row r="57" spans="1:24" x14ac:dyDescent="0.25">
      <c r="A57" t="s">
        <v>277</v>
      </c>
      <c r="B57" t="s">
        <v>278</v>
      </c>
      <c r="C57" s="1" t="s">
        <v>279</v>
      </c>
      <c r="D57" s="1" t="s">
        <v>1646</v>
      </c>
      <c r="E57" s="1" t="s">
        <v>280</v>
      </c>
      <c r="F57" s="1" t="s">
        <v>1698</v>
      </c>
      <c r="G57" s="1" t="s">
        <v>1637</v>
      </c>
      <c r="H57" s="1" t="s">
        <v>40</v>
      </c>
      <c r="I57" s="1" t="s">
        <v>22</v>
      </c>
      <c r="J57" s="1" t="s">
        <v>32</v>
      </c>
      <c r="K57" s="1" t="s">
        <v>33</v>
      </c>
      <c r="L57" s="1" t="s">
        <v>32</v>
      </c>
      <c r="M57" s="2">
        <v>45155</v>
      </c>
      <c r="N57" s="2" t="s">
        <v>25</v>
      </c>
      <c r="O57" s="2" t="s">
        <v>25</v>
      </c>
      <c r="P57" s="2" t="s">
        <v>25</v>
      </c>
      <c r="Q57" s="1" t="s">
        <v>26</v>
      </c>
      <c r="R57" s="7">
        <v>99103.039999999994</v>
      </c>
      <c r="S57" s="7">
        <f>7054.21+1032.38</f>
        <v>8086.59</v>
      </c>
      <c r="T57" s="7">
        <v>3366.99</v>
      </c>
      <c r="U57" s="7">
        <v>1032.3800000000001</v>
      </c>
      <c r="V57" s="7">
        <v>0</v>
      </c>
      <c r="W57" s="10">
        <v>169.25370000000001</v>
      </c>
      <c r="X57" s="10">
        <v>215.85749999999999</v>
      </c>
    </row>
    <row r="58" spans="1:24" x14ac:dyDescent="0.25">
      <c r="A58" t="s">
        <v>281</v>
      </c>
      <c r="B58" t="s">
        <v>282</v>
      </c>
      <c r="C58" s="1" t="s">
        <v>283</v>
      </c>
      <c r="D58" s="1" t="s">
        <v>1647</v>
      </c>
      <c r="E58" s="1" t="s">
        <v>284</v>
      </c>
      <c r="F58" s="1" t="s">
        <v>1696</v>
      </c>
      <c r="G58" s="1" t="s">
        <v>1585</v>
      </c>
      <c r="H58" s="1" t="s">
        <v>285</v>
      </c>
      <c r="I58" s="1" t="s">
        <v>22</v>
      </c>
      <c r="J58" s="1" t="s">
        <v>23</v>
      </c>
      <c r="K58" s="1" t="s">
        <v>24</v>
      </c>
      <c r="L58" s="1" t="s">
        <v>23</v>
      </c>
      <c r="M58" s="2">
        <v>45155</v>
      </c>
      <c r="N58" s="2" t="s">
        <v>25</v>
      </c>
      <c r="O58" s="2" t="s">
        <v>25</v>
      </c>
      <c r="P58" s="2" t="s">
        <v>25</v>
      </c>
      <c r="Q58" s="1" t="s">
        <v>26</v>
      </c>
      <c r="R58" s="7">
        <v>101392.76</v>
      </c>
      <c r="S58" s="7">
        <v>7242.34</v>
      </c>
      <c r="T58" s="7">
        <v>3366.99</v>
      </c>
      <c r="U58" s="7">
        <v>2162.85</v>
      </c>
      <c r="V58" s="7">
        <v>1712.5</v>
      </c>
      <c r="W58" s="10">
        <v>360.89550000000003</v>
      </c>
      <c r="X58" s="10">
        <v>155.84729999999999</v>
      </c>
    </row>
    <row r="59" spans="1:24" x14ac:dyDescent="0.25">
      <c r="A59" t="s">
        <v>286</v>
      </c>
      <c r="B59" t="s">
        <v>287</v>
      </c>
      <c r="C59" s="1" t="s">
        <v>288</v>
      </c>
      <c r="D59" s="1" t="s">
        <v>1646</v>
      </c>
      <c r="E59" s="1" t="s">
        <v>289</v>
      </c>
      <c r="F59" s="1" t="s">
        <v>1696</v>
      </c>
      <c r="G59" s="1" t="s">
        <v>1585</v>
      </c>
      <c r="H59" s="1" t="s">
        <v>179</v>
      </c>
      <c r="I59" s="1" t="s">
        <v>22</v>
      </c>
      <c r="J59" s="1" t="s">
        <v>23</v>
      </c>
      <c r="K59" s="1" t="s">
        <v>24</v>
      </c>
      <c r="L59" s="1" t="s">
        <v>23</v>
      </c>
      <c r="M59" s="2">
        <v>45155</v>
      </c>
      <c r="N59" s="2" t="s">
        <v>25</v>
      </c>
      <c r="O59" s="2" t="s">
        <v>25</v>
      </c>
      <c r="P59" s="2" t="s">
        <v>25</v>
      </c>
      <c r="Q59" s="1" t="s">
        <v>26</v>
      </c>
      <c r="R59" s="7">
        <v>94946.32</v>
      </c>
      <c r="S59" s="7">
        <v>6781.88</v>
      </c>
      <c r="T59" s="7">
        <v>3366.99</v>
      </c>
      <c r="U59" s="7">
        <v>2162.85</v>
      </c>
      <c r="V59" s="7">
        <v>1252.04</v>
      </c>
      <c r="W59" s="10">
        <v>358.209</v>
      </c>
      <c r="X59" s="10">
        <v>237.3537</v>
      </c>
    </row>
    <row r="60" spans="1:24" x14ac:dyDescent="0.25">
      <c r="C60" s="1" t="s">
        <v>1685</v>
      </c>
      <c r="D60" s="1" t="s">
        <v>1646</v>
      </c>
      <c r="E60" s="1" t="s">
        <v>1630</v>
      </c>
      <c r="F60" s="1" t="s">
        <v>1698</v>
      </c>
      <c r="G60" s="1" t="s">
        <v>1656</v>
      </c>
      <c r="H60" s="1" t="s">
        <v>1692</v>
      </c>
      <c r="I60" s="1" t="s">
        <v>22</v>
      </c>
      <c r="J60" s="1" t="s">
        <v>125</v>
      </c>
      <c r="K60" s="1" t="s">
        <v>124</v>
      </c>
      <c r="L60" s="1" t="s">
        <v>1693</v>
      </c>
      <c r="M60" s="2">
        <v>45155</v>
      </c>
      <c r="N60" s="2" t="s">
        <v>25</v>
      </c>
      <c r="O60" s="2" t="s">
        <v>25</v>
      </c>
      <c r="P60" s="2" t="s">
        <v>25</v>
      </c>
      <c r="Q60" s="1" t="s">
        <v>26</v>
      </c>
      <c r="R60" s="7">
        <v>84650.52</v>
      </c>
      <c r="S60" s="7">
        <v>7054.21</v>
      </c>
      <c r="T60" s="7">
        <v>7054.21</v>
      </c>
      <c r="U60" s="7">
        <v>0</v>
      </c>
      <c r="V60" s="7">
        <v>0</v>
      </c>
      <c r="W60" s="10">
        <v>309.85070000000002</v>
      </c>
      <c r="X60" s="10">
        <v>216.75319999999999</v>
      </c>
    </row>
    <row r="61" spans="1:24" x14ac:dyDescent="0.25">
      <c r="A61" t="s">
        <v>290</v>
      </c>
      <c r="B61" t="s">
        <v>291</v>
      </c>
      <c r="C61" s="1" t="s">
        <v>292</v>
      </c>
      <c r="D61" s="1" t="s">
        <v>1646</v>
      </c>
      <c r="E61" s="1" t="s">
        <v>293</v>
      </c>
      <c r="F61" s="1" t="s">
        <v>1696</v>
      </c>
      <c r="G61" s="1" t="s">
        <v>1585</v>
      </c>
      <c r="H61" s="1" t="s">
        <v>294</v>
      </c>
      <c r="I61" s="1" t="s">
        <v>22</v>
      </c>
      <c r="J61" s="1" t="s">
        <v>23</v>
      </c>
      <c r="K61" s="1" t="s">
        <v>24</v>
      </c>
      <c r="L61" s="1" t="s">
        <v>23</v>
      </c>
      <c r="M61" s="2">
        <v>45155</v>
      </c>
      <c r="N61" s="2" t="s">
        <v>25</v>
      </c>
      <c r="O61" s="2" t="s">
        <v>25</v>
      </c>
      <c r="P61" s="2" t="s">
        <v>25</v>
      </c>
      <c r="Q61" s="1" t="s">
        <v>26</v>
      </c>
      <c r="R61" s="7">
        <v>94946.32</v>
      </c>
      <c r="S61" s="7">
        <v>6781.88</v>
      </c>
      <c r="T61" s="7">
        <v>3366.99</v>
      </c>
      <c r="U61" s="7">
        <v>2162.85</v>
      </c>
      <c r="V61" s="7">
        <v>1252.04</v>
      </c>
      <c r="W61" s="10">
        <v>428.95519999999999</v>
      </c>
      <c r="X61" s="10">
        <v>208.69210000000001</v>
      </c>
    </row>
    <row r="62" spans="1:24" x14ac:dyDescent="0.25">
      <c r="A62" t="s">
        <v>295</v>
      </c>
      <c r="B62" t="s">
        <v>296</v>
      </c>
      <c r="C62" s="1" t="s">
        <v>297</v>
      </c>
      <c r="D62" s="1" t="s">
        <v>1646</v>
      </c>
      <c r="E62" s="1" t="s">
        <v>298</v>
      </c>
      <c r="F62" s="1" t="s">
        <v>1696</v>
      </c>
      <c r="G62" s="1" t="s">
        <v>1585</v>
      </c>
      <c r="H62" s="1" t="s">
        <v>244</v>
      </c>
      <c r="I62" s="1" t="s">
        <v>22</v>
      </c>
      <c r="J62" s="1" t="s">
        <v>32</v>
      </c>
      <c r="K62" s="1" t="s">
        <v>33</v>
      </c>
      <c r="L62" s="1" t="s">
        <v>32</v>
      </c>
      <c r="M62" s="2">
        <v>45824</v>
      </c>
      <c r="N62" s="2" t="s">
        <v>25</v>
      </c>
      <c r="O62" s="1" t="s">
        <v>363</v>
      </c>
      <c r="P62" s="2" t="s">
        <v>25</v>
      </c>
      <c r="Q62" s="1" t="s">
        <v>26</v>
      </c>
      <c r="R62" s="7">
        <v>94946.32</v>
      </c>
      <c r="S62" s="7">
        <v>6781.88</v>
      </c>
      <c r="T62" s="7">
        <v>3366.99</v>
      </c>
      <c r="U62" s="7">
        <v>2162.85</v>
      </c>
      <c r="V62" s="7">
        <v>1252.04</v>
      </c>
      <c r="W62" s="10">
        <v>6.2686999999999999</v>
      </c>
      <c r="X62" s="10">
        <v>187.19589999999999</v>
      </c>
    </row>
    <row r="63" spans="1:24" x14ac:dyDescent="0.25">
      <c r="C63" s="1" t="s">
        <v>1677</v>
      </c>
      <c r="D63" s="1" t="s">
        <v>1647</v>
      </c>
      <c r="E63" s="1" t="s">
        <v>1622</v>
      </c>
      <c r="F63" s="1" t="s">
        <v>1698</v>
      </c>
      <c r="G63" s="1" t="s">
        <v>1598</v>
      </c>
      <c r="H63" s="1" t="s">
        <v>1692</v>
      </c>
      <c r="I63" s="1" t="s">
        <v>22</v>
      </c>
      <c r="J63" s="1" t="s">
        <v>1662</v>
      </c>
      <c r="K63" s="1" t="s">
        <v>1662</v>
      </c>
      <c r="L63" s="1" t="s">
        <v>1693</v>
      </c>
      <c r="M63" s="2">
        <v>45155</v>
      </c>
      <c r="N63" s="2" t="s">
        <v>25</v>
      </c>
      <c r="O63" s="2" t="s">
        <v>25</v>
      </c>
      <c r="P63" s="2" t="s">
        <v>1678</v>
      </c>
      <c r="Q63" s="1" t="s">
        <v>35</v>
      </c>
      <c r="R63" s="7">
        <v>84600.72</v>
      </c>
      <c r="S63" s="7">
        <v>7050.06</v>
      </c>
      <c r="T63" s="7">
        <v>7050.06</v>
      </c>
      <c r="U63" s="7">
        <v>0</v>
      </c>
      <c r="V63" s="7">
        <v>0</v>
      </c>
      <c r="W63" s="10">
        <v>170.14930000000001</v>
      </c>
      <c r="X63" s="10">
        <v>259.74549999999999</v>
      </c>
    </row>
    <row r="64" spans="1:24" x14ac:dyDescent="0.25">
      <c r="A64" t="s">
        <v>299</v>
      </c>
      <c r="B64" t="s">
        <v>300</v>
      </c>
      <c r="C64" s="1" t="s">
        <v>301</v>
      </c>
      <c r="D64" s="1" t="s">
        <v>1647</v>
      </c>
      <c r="E64" s="1" t="s">
        <v>302</v>
      </c>
      <c r="F64" s="1" t="s">
        <v>1696</v>
      </c>
      <c r="G64" s="1" t="s">
        <v>1585</v>
      </c>
      <c r="H64" s="1" t="s">
        <v>67</v>
      </c>
      <c r="I64" s="1" t="s">
        <v>22</v>
      </c>
      <c r="J64" s="1" t="s">
        <v>303</v>
      </c>
      <c r="K64" s="1" t="s">
        <v>304</v>
      </c>
      <c r="L64" s="1" t="s">
        <v>303</v>
      </c>
      <c r="M64" s="2">
        <v>45155</v>
      </c>
      <c r="N64" s="2" t="s">
        <v>25</v>
      </c>
      <c r="O64" s="2" t="s">
        <v>25</v>
      </c>
      <c r="P64" s="2" t="s">
        <v>25</v>
      </c>
      <c r="Q64" s="1" t="s">
        <v>26</v>
      </c>
      <c r="R64" s="7">
        <v>129905.02</v>
      </c>
      <c r="S64" s="7">
        <v>9278.93</v>
      </c>
      <c r="T64" s="7">
        <v>3366.99</v>
      </c>
      <c r="U64" s="7">
        <v>2162.85</v>
      </c>
      <c r="V64" s="7">
        <v>3749.09</v>
      </c>
      <c r="W64" s="10">
        <v>111.0448</v>
      </c>
      <c r="X64" s="10">
        <v>90.463099999999997</v>
      </c>
    </row>
    <row r="65" spans="1:24" x14ac:dyDescent="0.25">
      <c r="A65" t="s">
        <v>154</v>
      </c>
      <c r="B65" t="s">
        <v>305</v>
      </c>
      <c r="C65" s="1" t="s">
        <v>306</v>
      </c>
      <c r="D65" s="1" t="s">
        <v>1647</v>
      </c>
      <c r="E65" s="1" t="s">
        <v>307</v>
      </c>
      <c r="F65" s="1" t="s">
        <v>1696</v>
      </c>
      <c r="G65" s="1" t="s">
        <v>1585</v>
      </c>
      <c r="H65" s="1" t="s">
        <v>40</v>
      </c>
      <c r="I65" s="1" t="s">
        <v>22</v>
      </c>
      <c r="J65" s="1" t="s">
        <v>32</v>
      </c>
      <c r="K65" s="1" t="s">
        <v>33</v>
      </c>
      <c r="L65" s="1" t="s">
        <v>32</v>
      </c>
      <c r="M65" s="2">
        <v>45155</v>
      </c>
      <c r="N65" s="2">
        <v>45335</v>
      </c>
      <c r="O65" s="2" t="s">
        <v>25</v>
      </c>
      <c r="P65" s="1" t="s">
        <v>445</v>
      </c>
      <c r="Q65" s="1" t="s">
        <v>35</v>
      </c>
      <c r="R65" s="7">
        <v>71897</v>
      </c>
      <c r="S65" s="7">
        <v>5135.5</v>
      </c>
      <c r="T65" s="7">
        <v>3142.14</v>
      </c>
      <c r="U65" s="7">
        <v>2018.41</v>
      </c>
      <c r="V65" s="7">
        <v>0</v>
      </c>
      <c r="W65" s="10">
        <v>33.134300000000003</v>
      </c>
      <c r="X65" s="10">
        <v>111.06359999999999</v>
      </c>
    </row>
    <row r="66" spans="1:24" x14ac:dyDescent="0.25">
      <c r="A66" t="s">
        <v>308</v>
      </c>
      <c r="B66" t="s">
        <v>309</v>
      </c>
      <c r="C66" s="1" t="s">
        <v>310</v>
      </c>
      <c r="D66" s="1" t="s">
        <v>1646</v>
      </c>
      <c r="E66" s="1" t="s">
        <v>311</v>
      </c>
      <c r="F66" s="1" t="s">
        <v>1696</v>
      </c>
      <c r="G66" s="1" t="s">
        <v>1585</v>
      </c>
      <c r="H66" s="1" t="s">
        <v>31</v>
      </c>
      <c r="I66" s="1" t="s">
        <v>22</v>
      </c>
      <c r="J66" s="1" t="s">
        <v>32</v>
      </c>
      <c r="K66" s="1" t="s">
        <v>33</v>
      </c>
      <c r="L66" s="1" t="s">
        <v>32</v>
      </c>
      <c r="M66" s="2">
        <v>45266</v>
      </c>
      <c r="N66" s="2" t="s">
        <v>25</v>
      </c>
      <c r="O66" s="1" t="s">
        <v>1016</v>
      </c>
      <c r="P66" s="2" t="s">
        <v>25</v>
      </c>
      <c r="Q66" s="1" t="s">
        <v>26</v>
      </c>
      <c r="R66" s="7">
        <v>94946.32</v>
      </c>
      <c r="S66" s="7">
        <v>6781.88</v>
      </c>
      <c r="T66" s="7">
        <v>3366.99</v>
      </c>
      <c r="U66" s="7">
        <v>2162.85</v>
      </c>
      <c r="V66" s="7">
        <v>1252.04</v>
      </c>
      <c r="W66" s="10">
        <v>99.403000000000006</v>
      </c>
      <c r="X66" s="10">
        <v>270.49360000000001</v>
      </c>
    </row>
    <row r="67" spans="1:24" x14ac:dyDescent="0.25">
      <c r="A67" t="s">
        <v>312</v>
      </c>
      <c r="B67" t="s">
        <v>313</v>
      </c>
      <c r="C67" s="1" t="s">
        <v>314</v>
      </c>
      <c r="D67" s="1" t="s">
        <v>1646</v>
      </c>
      <c r="E67" s="1" t="s">
        <v>315</v>
      </c>
      <c r="F67" s="1" t="s">
        <v>1696</v>
      </c>
      <c r="G67" s="1" t="s">
        <v>1585</v>
      </c>
      <c r="H67" s="1" t="s">
        <v>194</v>
      </c>
      <c r="I67" s="1" t="s">
        <v>22</v>
      </c>
      <c r="J67" s="1" t="s">
        <v>41</v>
      </c>
      <c r="K67" s="1" t="s">
        <v>42</v>
      </c>
      <c r="L67" s="1" t="s">
        <v>41</v>
      </c>
      <c r="M67" s="2">
        <v>45155</v>
      </c>
      <c r="N67" s="2" t="s">
        <v>25</v>
      </c>
      <c r="O67" s="2" t="s">
        <v>25</v>
      </c>
      <c r="P67" s="2" t="s">
        <v>25</v>
      </c>
      <c r="Q67" s="1" t="s">
        <v>26</v>
      </c>
      <c r="R67" s="7">
        <v>94946.32</v>
      </c>
      <c r="S67" s="7">
        <v>6781.88</v>
      </c>
      <c r="T67" s="7">
        <v>3366.99</v>
      </c>
      <c r="U67" s="7">
        <v>2162.85</v>
      </c>
      <c r="V67" s="7">
        <v>1252.04</v>
      </c>
      <c r="W67" s="10">
        <v>197.01490000000001</v>
      </c>
      <c r="X67" s="10">
        <v>54.636099999999999</v>
      </c>
    </row>
    <row r="68" spans="1:24" x14ac:dyDescent="0.25">
      <c r="A68" t="s">
        <v>316</v>
      </c>
      <c r="B68" t="s">
        <v>317</v>
      </c>
      <c r="C68" s="1" t="s">
        <v>318</v>
      </c>
      <c r="D68" s="1" t="s">
        <v>1647</v>
      </c>
      <c r="E68" s="1" t="s">
        <v>319</v>
      </c>
      <c r="F68" s="1" t="s">
        <v>1696</v>
      </c>
      <c r="G68" s="1" t="s">
        <v>1585</v>
      </c>
      <c r="H68" s="1" t="s">
        <v>67</v>
      </c>
      <c r="I68" s="1" t="s">
        <v>22</v>
      </c>
      <c r="J68" s="1" t="s">
        <v>32</v>
      </c>
      <c r="K68" s="1" t="s">
        <v>33</v>
      </c>
      <c r="L68" s="1" t="s">
        <v>32</v>
      </c>
      <c r="M68" s="2">
        <v>45531</v>
      </c>
      <c r="N68" s="2" t="s">
        <v>25</v>
      </c>
      <c r="O68" s="1" t="s">
        <v>691</v>
      </c>
      <c r="P68" s="2" t="s">
        <v>25</v>
      </c>
      <c r="Q68" s="1" t="s">
        <v>26</v>
      </c>
      <c r="R68" s="7">
        <v>94946.32</v>
      </c>
      <c r="S68" s="7">
        <v>6781.88</v>
      </c>
      <c r="T68" s="7">
        <v>3366.99</v>
      </c>
      <c r="U68" s="7">
        <v>2162.85</v>
      </c>
      <c r="V68" s="7">
        <v>1252.04</v>
      </c>
      <c r="W68" s="10">
        <v>6.2686999999999999</v>
      </c>
      <c r="X68" s="10">
        <v>248.9975</v>
      </c>
    </row>
    <row r="69" spans="1:24" x14ac:dyDescent="0.25">
      <c r="A69" t="s">
        <v>320</v>
      </c>
      <c r="B69" t="s">
        <v>321</v>
      </c>
      <c r="C69" s="1" t="s">
        <v>322</v>
      </c>
      <c r="D69" s="1" t="s">
        <v>1647</v>
      </c>
      <c r="E69" s="1" t="s">
        <v>323</v>
      </c>
      <c r="F69" s="1" t="s">
        <v>1696</v>
      </c>
      <c r="G69" s="1" t="s">
        <v>1585</v>
      </c>
      <c r="H69" s="1" t="s">
        <v>324</v>
      </c>
      <c r="I69" s="1" t="s">
        <v>22</v>
      </c>
      <c r="J69" s="1" t="s">
        <v>23</v>
      </c>
      <c r="K69" s="1" t="s">
        <v>24</v>
      </c>
      <c r="L69" s="1" t="s">
        <v>23</v>
      </c>
      <c r="M69" s="2">
        <v>45155</v>
      </c>
      <c r="N69" s="2" t="s">
        <v>25</v>
      </c>
      <c r="O69" s="2" t="s">
        <v>25</v>
      </c>
      <c r="P69" s="2" t="s">
        <v>25</v>
      </c>
      <c r="Q69" s="1" t="s">
        <v>26</v>
      </c>
      <c r="R69" s="7">
        <v>94946.32</v>
      </c>
      <c r="S69" s="7">
        <v>6781.88</v>
      </c>
      <c r="T69" s="7">
        <v>3366.99</v>
      </c>
      <c r="U69" s="7">
        <v>2162.85</v>
      </c>
      <c r="V69" s="7">
        <v>1252.04</v>
      </c>
      <c r="W69" s="10">
        <v>474.62689999999998</v>
      </c>
      <c r="X69" s="10">
        <v>300.94659999999999</v>
      </c>
    </row>
    <row r="70" spans="1:24" x14ac:dyDescent="0.25">
      <c r="A70" t="s">
        <v>325</v>
      </c>
      <c r="B70" t="s">
        <v>326</v>
      </c>
      <c r="C70" s="1" t="s">
        <v>327</v>
      </c>
      <c r="D70" s="1" t="s">
        <v>1647</v>
      </c>
      <c r="E70" s="1" t="s">
        <v>328</v>
      </c>
      <c r="F70" s="1" t="s">
        <v>1696</v>
      </c>
      <c r="G70" s="1" t="s">
        <v>1585</v>
      </c>
      <c r="H70" s="1" t="s">
        <v>40</v>
      </c>
      <c r="I70" s="1" t="s">
        <v>22</v>
      </c>
      <c r="J70" s="1" t="s">
        <v>32</v>
      </c>
      <c r="K70" s="1" t="s">
        <v>33</v>
      </c>
      <c r="L70" s="1" t="s">
        <v>32</v>
      </c>
      <c r="M70" s="2">
        <v>45266</v>
      </c>
      <c r="N70" s="2">
        <v>45443</v>
      </c>
      <c r="O70" s="1" t="s">
        <v>84</v>
      </c>
      <c r="P70" s="1" t="s">
        <v>734</v>
      </c>
      <c r="Q70" s="1" t="s">
        <v>35</v>
      </c>
      <c r="R70" s="7">
        <v>57477.98</v>
      </c>
      <c r="S70" s="7">
        <v>4105.57</v>
      </c>
      <c r="T70" s="7">
        <v>3142.14</v>
      </c>
      <c r="U70" s="7">
        <v>963.43</v>
      </c>
      <c r="V70" s="7">
        <v>0</v>
      </c>
      <c r="W70" s="10">
        <v>66.268699999999995</v>
      </c>
      <c r="X70" s="10">
        <v>147.78630000000001</v>
      </c>
    </row>
    <row r="71" spans="1:24" x14ac:dyDescent="0.25">
      <c r="A71" t="s">
        <v>329</v>
      </c>
      <c r="B71" t="s">
        <v>330</v>
      </c>
      <c r="C71" s="1" t="s">
        <v>331</v>
      </c>
      <c r="D71" s="1" t="s">
        <v>1646</v>
      </c>
      <c r="E71" s="1" t="s">
        <v>332</v>
      </c>
      <c r="F71" s="1" t="s">
        <v>1696</v>
      </c>
      <c r="G71" s="1" t="s">
        <v>1585</v>
      </c>
      <c r="H71" s="1" t="s">
        <v>324</v>
      </c>
      <c r="I71" s="1" t="s">
        <v>22</v>
      </c>
      <c r="J71" s="1" t="s">
        <v>23</v>
      </c>
      <c r="K71" s="1" t="s">
        <v>24</v>
      </c>
      <c r="L71" s="1" t="s">
        <v>23</v>
      </c>
      <c r="M71" s="2">
        <v>45155</v>
      </c>
      <c r="N71" s="2" t="s">
        <v>25</v>
      </c>
      <c r="O71" s="2" t="s">
        <v>25</v>
      </c>
      <c r="P71" s="2" t="s">
        <v>25</v>
      </c>
      <c r="Q71" s="1" t="s">
        <v>26</v>
      </c>
      <c r="R71" s="7">
        <v>94946.32</v>
      </c>
      <c r="S71" s="7">
        <v>6781.88</v>
      </c>
      <c r="T71" s="7">
        <v>3366.99</v>
      </c>
      <c r="U71" s="7">
        <v>2162.85</v>
      </c>
      <c r="V71" s="7">
        <v>1252.04</v>
      </c>
      <c r="W71" s="10">
        <v>429.85070000000002</v>
      </c>
      <c r="X71" s="10">
        <v>248.9975</v>
      </c>
    </row>
    <row r="72" spans="1:24" x14ac:dyDescent="0.25">
      <c r="A72" t="s">
        <v>333</v>
      </c>
      <c r="B72" t="s">
        <v>334</v>
      </c>
      <c r="C72" s="1" t="s">
        <v>335</v>
      </c>
      <c r="D72" s="1" t="s">
        <v>1647</v>
      </c>
      <c r="E72" s="1" t="s">
        <v>336</v>
      </c>
      <c r="F72" s="1" t="s">
        <v>1696</v>
      </c>
      <c r="G72" s="1" t="s">
        <v>1585</v>
      </c>
      <c r="H72" s="1" t="s">
        <v>40</v>
      </c>
      <c r="I72" s="1" t="s">
        <v>22</v>
      </c>
      <c r="J72" s="1" t="s">
        <v>23</v>
      </c>
      <c r="K72" s="1" t="s">
        <v>24</v>
      </c>
      <c r="L72" s="1" t="s">
        <v>23</v>
      </c>
      <c r="M72" s="2">
        <v>45155</v>
      </c>
      <c r="N72" s="2" t="s">
        <v>25</v>
      </c>
      <c r="O72" s="2" t="s">
        <v>25</v>
      </c>
      <c r="P72" s="2" t="s">
        <v>25</v>
      </c>
      <c r="Q72" s="1" t="s">
        <v>26</v>
      </c>
      <c r="R72" s="7">
        <v>79119.740000000005</v>
      </c>
      <c r="S72" s="7">
        <v>5651.41</v>
      </c>
      <c r="T72" s="7">
        <v>3366.99</v>
      </c>
      <c r="U72" s="7">
        <v>1032.3800000000001</v>
      </c>
      <c r="V72" s="7">
        <v>1252.04</v>
      </c>
      <c r="W72" s="10">
        <v>260.59699999999998</v>
      </c>
      <c r="X72" s="10">
        <v>25.974599999999999</v>
      </c>
    </row>
    <row r="73" spans="1:24" x14ac:dyDescent="0.25">
      <c r="A73" t="s">
        <v>337</v>
      </c>
      <c r="B73" t="s">
        <v>338</v>
      </c>
      <c r="C73" s="1" t="s">
        <v>339</v>
      </c>
      <c r="D73" s="1" t="s">
        <v>1646</v>
      </c>
      <c r="E73" s="1" t="s">
        <v>340</v>
      </c>
      <c r="F73" s="1" t="s">
        <v>1696</v>
      </c>
      <c r="G73" s="1" t="s">
        <v>1585</v>
      </c>
      <c r="H73" s="1" t="s">
        <v>166</v>
      </c>
      <c r="I73" s="1" t="s">
        <v>22</v>
      </c>
      <c r="J73" s="1" t="s">
        <v>32</v>
      </c>
      <c r="K73" s="1" t="s">
        <v>33</v>
      </c>
      <c r="L73" s="1" t="s">
        <v>32</v>
      </c>
      <c r="M73" s="2">
        <v>45155</v>
      </c>
      <c r="N73" s="2">
        <v>45867</v>
      </c>
      <c r="O73" s="2" t="s">
        <v>25</v>
      </c>
      <c r="P73" s="1" t="s">
        <v>164</v>
      </c>
      <c r="Q73" s="1" t="s">
        <v>35</v>
      </c>
      <c r="R73" s="7">
        <v>73410.600000000006</v>
      </c>
      <c r="S73" s="7">
        <v>6117.55</v>
      </c>
      <c r="T73" s="7">
        <v>3236.32</v>
      </c>
      <c r="U73" s="7">
        <v>2078.92</v>
      </c>
      <c r="V73" s="7">
        <v>802.31</v>
      </c>
      <c r="W73" s="10">
        <v>120</v>
      </c>
      <c r="X73" s="10">
        <v>154.95169999999999</v>
      </c>
    </row>
    <row r="74" spans="1:24" x14ac:dyDescent="0.25">
      <c r="A74" t="s">
        <v>341</v>
      </c>
      <c r="B74" t="s">
        <v>342</v>
      </c>
      <c r="C74" s="1" t="s">
        <v>343</v>
      </c>
      <c r="D74" s="1" t="s">
        <v>1647</v>
      </c>
      <c r="E74" s="1" t="s">
        <v>344</v>
      </c>
      <c r="F74" s="1" t="s">
        <v>1696</v>
      </c>
      <c r="G74" s="1" t="s">
        <v>1585</v>
      </c>
      <c r="H74" s="1" t="s">
        <v>179</v>
      </c>
      <c r="I74" s="1" t="s">
        <v>22</v>
      </c>
      <c r="J74" s="1" t="s">
        <v>32</v>
      </c>
      <c r="K74" s="1" t="s">
        <v>33</v>
      </c>
      <c r="L74" s="1" t="s">
        <v>32</v>
      </c>
      <c r="M74" s="2">
        <v>45155</v>
      </c>
      <c r="N74" s="2" t="s">
        <v>25</v>
      </c>
      <c r="O74" s="2" t="s">
        <v>25</v>
      </c>
      <c r="P74" s="2" t="s">
        <v>25</v>
      </c>
      <c r="Q74" s="1" t="s">
        <v>26</v>
      </c>
      <c r="R74" s="7">
        <v>101392.76</v>
      </c>
      <c r="S74" s="7">
        <v>7242.34</v>
      </c>
      <c r="T74" s="7">
        <v>3366.99</v>
      </c>
      <c r="U74" s="7">
        <v>2162.85</v>
      </c>
      <c r="V74" s="7">
        <v>1712.5</v>
      </c>
      <c r="W74" s="10">
        <v>121.791</v>
      </c>
      <c r="X74" s="10">
        <v>214.06620000000001</v>
      </c>
    </row>
    <row r="75" spans="1:24" x14ac:dyDescent="0.25">
      <c r="A75" t="s">
        <v>200</v>
      </c>
      <c r="B75" t="s">
        <v>345</v>
      </c>
      <c r="C75" s="1" t="s">
        <v>346</v>
      </c>
      <c r="D75" s="1" t="s">
        <v>1646</v>
      </c>
      <c r="E75" s="1" t="s">
        <v>347</v>
      </c>
      <c r="F75" s="1" t="s">
        <v>1696</v>
      </c>
      <c r="G75" s="1" t="s">
        <v>1585</v>
      </c>
      <c r="H75" s="1" t="s">
        <v>244</v>
      </c>
      <c r="I75" s="1" t="s">
        <v>22</v>
      </c>
      <c r="J75" s="1" t="s">
        <v>34</v>
      </c>
      <c r="K75" s="1" t="s">
        <v>348</v>
      </c>
      <c r="L75" s="1" t="s">
        <v>34</v>
      </c>
      <c r="M75" s="2">
        <v>45155</v>
      </c>
      <c r="N75" s="2" t="s">
        <v>25</v>
      </c>
      <c r="O75" s="2" t="s">
        <v>25</v>
      </c>
      <c r="P75" s="2" t="s">
        <v>25</v>
      </c>
      <c r="Q75" s="1" t="s">
        <v>26</v>
      </c>
      <c r="R75" s="7">
        <v>129905.02</v>
      </c>
      <c r="S75" s="7">
        <v>9278.93</v>
      </c>
      <c r="T75" s="7">
        <v>3366.99</v>
      </c>
      <c r="U75" s="7">
        <v>2162.85</v>
      </c>
      <c r="V75" s="7">
        <v>3749.09</v>
      </c>
      <c r="W75" s="10">
        <v>85.970100000000002</v>
      </c>
      <c r="X75" s="10">
        <v>80.610699999999994</v>
      </c>
    </row>
    <row r="76" spans="1:24" x14ac:dyDescent="0.25">
      <c r="A76" t="s">
        <v>349</v>
      </c>
      <c r="B76" t="s">
        <v>350</v>
      </c>
      <c r="C76" s="1" t="s">
        <v>351</v>
      </c>
      <c r="D76" s="1" t="s">
        <v>1646</v>
      </c>
      <c r="E76" s="1" t="s">
        <v>352</v>
      </c>
      <c r="F76" s="1" t="s">
        <v>1696</v>
      </c>
      <c r="G76" s="1" t="s">
        <v>1585</v>
      </c>
      <c r="H76" s="1" t="s">
        <v>353</v>
      </c>
      <c r="I76" s="1" t="s">
        <v>22</v>
      </c>
      <c r="J76" s="1" t="s">
        <v>23</v>
      </c>
      <c r="K76" s="1" t="s">
        <v>24</v>
      </c>
      <c r="L76" s="1" t="s">
        <v>23</v>
      </c>
      <c r="M76" s="2">
        <v>45155</v>
      </c>
      <c r="N76" s="2" t="s">
        <v>25</v>
      </c>
      <c r="O76" s="2" t="s">
        <v>25</v>
      </c>
      <c r="P76" s="2" t="s">
        <v>25</v>
      </c>
      <c r="Q76" s="1" t="s">
        <v>26</v>
      </c>
      <c r="R76" s="7">
        <v>94946.32</v>
      </c>
      <c r="S76" s="7">
        <v>6781.88</v>
      </c>
      <c r="T76" s="7">
        <v>3366.99</v>
      </c>
      <c r="U76" s="7">
        <v>2162.85</v>
      </c>
      <c r="V76" s="7">
        <v>1252.04</v>
      </c>
      <c r="W76" s="10">
        <v>451.3433</v>
      </c>
      <c r="X76" s="10">
        <v>324.23410000000001</v>
      </c>
    </row>
    <row r="77" spans="1:24" x14ac:dyDescent="0.25">
      <c r="A77" t="s">
        <v>96</v>
      </c>
      <c r="B77" t="s">
        <v>354</v>
      </c>
      <c r="C77" s="1" t="s">
        <v>355</v>
      </c>
      <c r="D77" s="1" t="s">
        <v>1646</v>
      </c>
      <c r="E77" s="1" t="s">
        <v>356</v>
      </c>
      <c r="F77" s="1" t="s">
        <v>1696</v>
      </c>
      <c r="G77" s="1" t="s">
        <v>1585</v>
      </c>
      <c r="H77" s="1" t="s">
        <v>357</v>
      </c>
      <c r="I77" s="1" t="s">
        <v>22</v>
      </c>
      <c r="J77" s="1" t="s">
        <v>23</v>
      </c>
      <c r="K77" s="1" t="s">
        <v>24</v>
      </c>
      <c r="L77" s="1" t="s">
        <v>23</v>
      </c>
      <c r="M77" s="2">
        <v>45155</v>
      </c>
      <c r="N77" s="2" t="s">
        <v>25</v>
      </c>
      <c r="O77" s="2" t="s">
        <v>25</v>
      </c>
      <c r="P77" s="2" t="s">
        <v>25</v>
      </c>
      <c r="Q77" s="1" t="s">
        <v>26</v>
      </c>
      <c r="R77" s="7">
        <v>89103.7</v>
      </c>
      <c r="S77" s="7">
        <v>6364.55</v>
      </c>
      <c r="T77" s="7">
        <v>3366.99</v>
      </c>
      <c r="U77" s="7">
        <v>2162.85</v>
      </c>
      <c r="V77" s="7">
        <v>834.71</v>
      </c>
      <c r="W77" s="10">
        <v>292.83580000000001</v>
      </c>
      <c r="X77" s="10">
        <v>9.8523999999999994</v>
      </c>
    </row>
    <row r="78" spans="1:24" x14ac:dyDescent="0.25">
      <c r="A78" t="s">
        <v>185</v>
      </c>
      <c r="B78" t="s">
        <v>358</v>
      </c>
      <c r="C78" s="1" t="s">
        <v>359</v>
      </c>
      <c r="D78" s="1" t="s">
        <v>1647</v>
      </c>
      <c r="E78" s="1" t="s">
        <v>360</v>
      </c>
      <c r="F78" s="1" t="s">
        <v>1696</v>
      </c>
      <c r="G78" s="1" t="s">
        <v>1585</v>
      </c>
      <c r="H78" s="1" t="s">
        <v>227</v>
      </c>
      <c r="I78" s="1" t="s">
        <v>22</v>
      </c>
      <c r="J78" s="1" t="s">
        <v>32</v>
      </c>
      <c r="K78" s="1" t="s">
        <v>33</v>
      </c>
      <c r="L78" s="1" t="s">
        <v>32</v>
      </c>
      <c r="M78" s="2">
        <v>45155</v>
      </c>
      <c r="N78" s="2" t="s">
        <v>25</v>
      </c>
      <c r="O78" s="2" t="s">
        <v>25</v>
      </c>
      <c r="P78" s="2" t="s">
        <v>25</v>
      </c>
      <c r="Q78" s="1" t="s">
        <v>26</v>
      </c>
      <c r="R78" s="7">
        <v>94946.32</v>
      </c>
      <c r="S78" s="7">
        <v>6781.88</v>
      </c>
      <c r="T78" s="7">
        <v>3366.99</v>
      </c>
      <c r="U78" s="7">
        <v>2162.85</v>
      </c>
      <c r="V78" s="7">
        <v>1252.04</v>
      </c>
      <c r="W78" s="10">
        <v>29.552199999999999</v>
      </c>
      <c r="X78" s="10">
        <v>312.59030000000001</v>
      </c>
    </row>
    <row r="79" spans="1:24" x14ac:dyDescent="0.25">
      <c r="A79" t="s">
        <v>361</v>
      </c>
      <c r="B79" t="s">
        <v>362</v>
      </c>
      <c r="C79" s="1" t="s">
        <v>363</v>
      </c>
      <c r="D79" s="1" t="s">
        <v>1646</v>
      </c>
      <c r="E79" s="1" t="s">
        <v>364</v>
      </c>
      <c r="F79" s="1" t="s">
        <v>1696</v>
      </c>
      <c r="G79" s="1" t="s">
        <v>1585</v>
      </c>
      <c r="H79" s="1" t="s">
        <v>244</v>
      </c>
      <c r="I79" s="1" t="s">
        <v>22</v>
      </c>
      <c r="J79" s="1" t="s">
        <v>32</v>
      </c>
      <c r="K79" s="1" t="s">
        <v>33</v>
      </c>
      <c r="L79" s="1" t="s">
        <v>32</v>
      </c>
      <c r="M79" s="2">
        <v>45155</v>
      </c>
      <c r="N79" s="2">
        <v>45824</v>
      </c>
      <c r="O79" s="2" t="s">
        <v>25</v>
      </c>
      <c r="P79" s="1" t="s">
        <v>297</v>
      </c>
      <c r="Q79" s="1" t="s">
        <v>35</v>
      </c>
      <c r="R79" s="7">
        <v>71897</v>
      </c>
      <c r="S79" s="7">
        <v>5135.5</v>
      </c>
      <c r="T79" s="7">
        <v>3142.14</v>
      </c>
      <c r="U79" s="7">
        <v>2018.41</v>
      </c>
      <c r="V79" s="7">
        <v>0</v>
      </c>
      <c r="W79" s="10">
        <v>6.2686999999999999</v>
      </c>
      <c r="X79" s="10">
        <v>187.19589999999999</v>
      </c>
    </row>
    <row r="80" spans="1:24" x14ac:dyDescent="0.25">
      <c r="A80" t="s">
        <v>365</v>
      </c>
      <c r="B80" t="s">
        <v>366</v>
      </c>
      <c r="C80" s="1" t="s">
        <v>367</v>
      </c>
      <c r="D80" s="1" t="s">
        <v>1646</v>
      </c>
      <c r="E80" s="1" t="s">
        <v>368</v>
      </c>
      <c r="F80" s="1" t="s">
        <v>1696</v>
      </c>
      <c r="G80" s="1" t="s">
        <v>1585</v>
      </c>
      <c r="H80" s="1" t="s">
        <v>227</v>
      </c>
      <c r="I80" s="1" t="s">
        <v>22</v>
      </c>
      <c r="J80" s="1" t="s">
        <v>303</v>
      </c>
      <c r="K80" s="1" t="s">
        <v>304</v>
      </c>
      <c r="L80" s="1" t="s">
        <v>303</v>
      </c>
      <c r="M80" s="2">
        <v>45155</v>
      </c>
      <c r="N80" s="2" t="s">
        <v>25</v>
      </c>
      <c r="O80" s="2" t="s">
        <v>25</v>
      </c>
      <c r="P80" s="2" t="s">
        <v>25</v>
      </c>
      <c r="Q80" s="1" t="s">
        <v>26</v>
      </c>
      <c r="R80" s="7">
        <v>94946.32</v>
      </c>
      <c r="S80" s="7">
        <v>6781.88</v>
      </c>
      <c r="T80" s="7">
        <v>3366.99</v>
      </c>
      <c r="U80" s="7">
        <v>2162.85</v>
      </c>
      <c r="V80" s="7">
        <v>1252.04</v>
      </c>
      <c r="W80" s="10">
        <v>102.0896</v>
      </c>
      <c r="X80" s="10">
        <v>98.524199999999993</v>
      </c>
    </row>
    <row r="81" spans="1:24" x14ac:dyDescent="0.25">
      <c r="A81" t="s">
        <v>369</v>
      </c>
      <c r="B81" t="s">
        <v>370</v>
      </c>
      <c r="C81" s="1" t="s">
        <v>371</v>
      </c>
      <c r="D81" s="1" t="s">
        <v>1646</v>
      </c>
      <c r="E81" s="1" t="s">
        <v>372</v>
      </c>
      <c r="F81" s="1" t="s">
        <v>1696</v>
      </c>
      <c r="G81" s="1" t="s">
        <v>1585</v>
      </c>
      <c r="H81" s="1" t="s">
        <v>250</v>
      </c>
      <c r="I81" s="1" t="s">
        <v>22</v>
      </c>
      <c r="J81" s="1" t="s">
        <v>41</v>
      </c>
      <c r="K81" s="1" t="s">
        <v>42</v>
      </c>
      <c r="L81" s="1" t="s">
        <v>41</v>
      </c>
      <c r="M81" s="2">
        <v>45155</v>
      </c>
      <c r="N81" s="2" t="s">
        <v>25</v>
      </c>
      <c r="O81" s="2" t="s">
        <v>25</v>
      </c>
      <c r="P81" s="2" t="s">
        <v>25</v>
      </c>
      <c r="Q81" s="1" t="s">
        <v>26</v>
      </c>
      <c r="R81" s="7">
        <v>94946.32</v>
      </c>
      <c r="S81" s="7">
        <v>6781.88</v>
      </c>
      <c r="T81" s="7">
        <v>3366.99</v>
      </c>
      <c r="U81" s="7">
        <v>2162.85</v>
      </c>
      <c r="V81" s="7">
        <v>1252.04</v>
      </c>
      <c r="W81" s="10">
        <v>135.22389999999999</v>
      </c>
      <c r="X81" s="10">
        <v>26.870200000000001</v>
      </c>
    </row>
    <row r="82" spans="1:24" x14ac:dyDescent="0.25">
      <c r="A82" t="s">
        <v>373</v>
      </c>
      <c r="B82" t="s">
        <v>374</v>
      </c>
      <c r="C82" s="1" t="s">
        <v>375</v>
      </c>
      <c r="D82" s="1" t="s">
        <v>1646</v>
      </c>
      <c r="E82" s="1" t="s">
        <v>376</v>
      </c>
      <c r="F82" s="1" t="s">
        <v>1696</v>
      </c>
      <c r="G82" s="1" t="s">
        <v>1585</v>
      </c>
      <c r="H82" s="1" t="s">
        <v>204</v>
      </c>
      <c r="I82" s="1" t="s">
        <v>22</v>
      </c>
      <c r="J82" s="1" t="s">
        <v>23</v>
      </c>
      <c r="K82" s="1" t="s">
        <v>24</v>
      </c>
      <c r="L82" s="1" t="s">
        <v>23</v>
      </c>
      <c r="M82" s="2">
        <v>45155</v>
      </c>
      <c r="N82" s="2" t="s">
        <v>25</v>
      </c>
      <c r="O82" s="2" t="s">
        <v>25</v>
      </c>
      <c r="P82" s="2" t="s">
        <v>25</v>
      </c>
      <c r="Q82" s="1" t="s">
        <v>26</v>
      </c>
      <c r="R82" s="7">
        <v>94946.32</v>
      </c>
      <c r="S82" s="7">
        <v>6781.88</v>
      </c>
      <c r="T82" s="7">
        <v>3366.99</v>
      </c>
      <c r="U82" s="7">
        <v>2162.85</v>
      </c>
      <c r="V82" s="7">
        <v>1252.04</v>
      </c>
      <c r="W82" s="10">
        <v>374.32839999999999</v>
      </c>
      <c r="X82" s="10">
        <v>133.4555</v>
      </c>
    </row>
    <row r="83" spans="1:24" x14ac:dyDescent="0.25">
      <c r="A83" t="s">
        <v>377</v>
      </c>
      <c r="B83" t="s">
        <v>378</v>
      </c>
      <c r="C83" s="1" t="s">
        <v>379</v>
      </c>
      <c r="D83" s="1" t="s">
        <v>1647</v>
      </c>
      <c r="E83" s="1" t="s">
        <v>380</v>
      </c>
      <c r="F83" s="1" t="s">
        <v>1696</v>
      </c>
      <c r="G83" s="1" t="s">
        <v>1585</v>
      </c>
      <c r="H83" s="1" t="s">
        <v>381</v>
      </c>
      <c r="I83" s="1" t="s">
        <v>22</v>
      </c>
      <c r="J83" s="1" t="s">
        <v>23</v>
      </c>
      <c r="K83" s="1" t="s">
        <v>24</v>
      </c>
      <c r="L83" s="1" t="s">
        <v>23</v>
      </c>
      <c r="M83" s="2">
        <v>45155</v>
      </c>
      <c r="N83" s="2" t="s">
        <v>25</v>
      </c>
      <c r="O83" s="2" t="s">
        <v>25</v>
      </c>
      <c r="P83" s="2" t="s">
        <v>25</v>
      </c>
      <c r="Q83" s="1" t="s">
        <v>26</v>
      </c>
      <c r="R83" s="7">
        <v>94946.32</v>
      </c>
      <c r="S83" s="7">
        <v>6781.88</v>
      </c>
      <c r="T83" s="7">
        <v>3366.99</v>
      </c>
      <c r="U83" s="7">
        <v>2162.85</v>
      </c>
      <c r="V83" s="7">
        <v>1252.04</v>
      </c>
      <c r="W83" s="10">
        <v>446.8657</v>
      </c>
      <c r="X83" s="10">
        <v>171.07380000000001</v>
      </c>
    </row>
    <row r="84" spans="1:24" x14ac:dyDescent="0.25">
      <c r="A84" t="s">
        <v>382</v>
      </c>
      <c r="B84" t="s">
        <v>383</v>
      </c>
      <c r="C84" s="1" t="s">
        <v>384</v>
      </c>
      <c r="D84" s="1" t="s">
        <v>1647</v>
      </c>
      <c r="E84" s="1" t="s">
        <v>385</v>
      </c>
      <c r="F84" s="1" t="s">
        <v>1696</v>
      </c>
      <c r="G84" s="1" t="s">
        <v>1585</v>
      </c>
      <c r="H84" s="1" t="s">
        <v>90</v>
      </c>
      <c r="I84" s="1" t="s">
        <v>22</v>
      </c>
      <c r="J84" s="1" t="s">
        <v>32</v>
      </c>
      <c r="K84" s="1" t="s">
        <v>33</v>
      </c>
      <c r="L84" s="1" t="s">
        <v>32</v>
      </c>
      <c r="M84" s="2">
        <v>45155</v>
      </c>
      <c r="N84" s="2" t="s">
        <v>25</v>
      </c>
      <c r="O84" s="2" t="s">
        <v>25</v>
      </c>
      <c r="P84" s="2" t="s">
        <v>25</v>
      </c>
      <c r="Q84" s="1" t="s">
        <v>26</v>
      </c>
      <c r="R84" s="7">
        <v>94946.32</v>
      </c>
      <c r="S84" s="7">
        <v>6781.88</v>
      </c>
      <c r="T84" s="7">
        <v>3366.99</v>
      </c>
      <c r="U84" s="7">
        <v>2162.85</v>
      </c>
      <c r="V84" s="7">
        <v>1252.04</v>
      </c>
      <c r="W84" s="10">
        <v>51.044800000000002</v>
      </c>
      <c r="X84" s="10">
        <v>207.79640000000001</v>
      </c>
    </row>
    <row r="85" spans="1:24" x14ac:dyDescent="0.25">
      <c r="A85" t="s">
        <v>386</v>
      </c>
      <c r="B85" t="s">
        <v>387</v>
      </c>
      <c r="C85" s="1" t="s">
        <v>388</v>
      </c>
      <c r="D85" s="1" t="s">
        <v>1647</v>
      </c>
      <c r="E85" s="1" t="s">
        <v>389</v>
      </c>
      <c r="F85" s="1" t="s">
        <v>1696</v>
      </c>
      <c r="G85" s="1" t="s">
        <v>1585</v>
      </c>
      <c r="H85" s="1" t="s">
        <v>166</v>
      </c>
      <c r="I85" s="1" t="s">
        <v>22</v>
      </c>
      <c r="J85" s="1" t="s">
        <v>32</v>
      </c>
      <c r="K85" s="1" t="s">
        <v>33</v>
      </c>
      <c r="L85" s="1" t="s">
        <v>32</v>
      </c>
      <c r="M85" s="2">
        <v>45155</v>
      </c>
      <c r="N85" s="2" t="s">
        <v>25</v>
      </c>
      <c r="O85" s="2" t="s">
        <v>25</v>
      </c>
      <c r="P85" s="2" t="s">
        <v>25</v>
      </c>
      <c r="Q85" s="1" t="s">
        <v>26</v>
      </c>
      <c r="R85" s="7">
        <v>94946.32</v>
      </c>
      <c r="S85" s="7">
        <v>6781.88</v>
      </c>
      <c r="T85" s="7">
        <v>3366.99</v>
      </c>
      <c r="U85" s="7">
        <v>2162.85</v>
      </c>
      <c r="V85" s="7">
        <v>1252.04</v>
      </c>
      <c r="W85" s="10">
        <v>97.611900000000006</v>
      </c>
      <c r="X85" s="10">
        <v>142.41220000000001</v>
      </c>
    </row>
    <row r="86" spans="1:24" x14ac:dyDescent="0.25">
      <c r="A86" t="s">
        <v>195</v>
      </c>
      <c r="B86" t="s">
        <v>390</v>
      </c>
      <c r="C86" s="1" t="s">
        <v>391</v>
      </c>
      <c r="D86" s="1" t="s">
        <v>1646</v>
      </c>
      <c r="E86" s="1" t="s">
        <v>392</v>
      </c>
      <c r="F86" s="1" t="s">
        <v>1696</v>
      </c>
      <c r="G86" s="1" t="s">
        <v>1585</v>
      </c>
      <c r="H86" s="1" t="s">
        <v>40</v>
      </c>
      <c r="I86" s="1" t="s">
        <v>22</v>
      </c>
      <c r="J86" s="1" t="s">
        <v>23</v>
      </c>
      <c r="K86" s="1" t="s">
        <v>24</v>
      </c>
      <c r="L86" s="1" t="s">
        <v>23</v>
      </c>
      <c r="M86" s="2">
        <v>45155</v>
      </c>
      <c r="N86" s="2" t="s">
        <v>25</v>
      </c>
      <c r="O86" s="2" t="s">
        <v>25</v>
      </c>
      <c r="P86" s="2" t="s">
        <v>25</v>
      </c>
      <c r="Q86" s="1" t="s">
        <v>26</v>
      </c>
      <c r="R86" s="7">
        <v>85566.18</v>
      </c>
      <c r="S86" s="7">
        <v>6111.87</v>
      </c>
      <c r="T86" s="7">
        <v>3366.99</v>
      </c>
      <c r="U86" s="7">
        <v>1032.3800000000001</v>
      </c>
      <c r="V86" s="7">
        <v>1712.5</v>
      </c>
      <c r="W86" s="10">
        <v>405.67160000000001</v>
      </c>
      <c r="X86" s="10">
        <v>259.74549999999999</v>
      </c>
    </row>
    <row r="87" spans="1:24" x14ac:dyDescent="0.25">
      <c r="A87" t="s">
        <v>393</v>
      </c>
      <c r="B87" t="s">
        <v>394</v>
      </c>
      <c r="C87" s="1" t="s">
        <v>395</v>
      </c>
      <c r="D87" s="1" t="s">
        <v>1646</v>
      </c>
      <c r="E87" s="1" t="s">
        <v>396</v>
      </c>
      <c r="F87" s="1" t="s">
        <v>1696</v>
      </c>
      <c r="G87" s="1" t="s">
        <v>1585</v>
      </c>
      <c r="H87" s="1" t="s">
        <v>184</v>
      </c>
      <c r="I87" s="1" t="s">
        <v>22</v>
      </c>
      <c r="J87" s="1" t="s">
        <v>125</v>
      </c>
      <c r="K87" s="1" t="s">
        <v>124</v>
      </c>
      <c r="L87" s="1" t="s">
        <v>125</v>
      </c>
      <c r="M87" s="2">
        <v>45155</v>
      </c>
      <c r="N87" s="2" t="s">
        <v>25</v>
      </c>
      <c r="O87" s="2" t="s">
        <v>25</v>
      </c>
      <c r="P87" s="2" t="s">
        <v>25</v>
      </c>
      <c r="Q87" s="1" t="s">
        <v>26</v>
      </c>
      <c r="R87" s="7">
        <v>94946.32</v>
      </c>
      <c r="S87" s="7">
        <v>6781.88</v>
      </c>
      <c r="T87" s="7">
        <v>3366.99</v>
      </c>
      <c r="U87" s="7">
        <v>2162.85</v>
      </c>
      <c r="V87" s="7">
        <v>1252.04</v>
      </c>
      <c r="W87" s="10">
        <v>202.38810000000001</v>
      </c>
      <c r="X87" s="10">
        <v>77.923699999999997</v>
      </c>
    </row>
    <row r="88" spans="1:24" x14ac:dyDescent="0.25">
      <c r="A88" t="s">
        <v>397</v>
      </c>
      <c r="B88" t="s">
        <v>398</v>
      </c>
      <c r="C88" s="1" t="s">
        <v>399</v>
      </c>
      <c r="D88" s="1" t="s">
        <v>1646</v>
      </c>
      <c r="E88" s="1" t="s">
        <v>400</v>
      </c>
      <c r="F88" s="1" t="s">
        <v>1696</v>
      </c>
      <c r="G88" s="1" t="s">
        <v>1585</v>
      </c>
      <c r="H88" s="1" t="s">
        <v>108</v>
      </c>
      <c r="I88" s="1" t="s">
        <v>22</v>
      </c>
      <c r="J88" s="1" t="s">
        <v>23</v>
      </c>
      <c r="K88" s="1" t="s">
        <v>24</v>
      </c>
      <c r="L88" s="1" t="s">
        <v>23</v>
      </c>
      <c r="M88" s="2">
        <v>45155</v>
      </c>
      <c r="N88" s="2" t="s">
        <v>25</v>
      </c>
      <c r="O88" s="2" t="s">
        <v>25</v>
      </c>
      <c r="P88" s="2" t="s">
        <v>25</v>
      </c>
      <c r="Q88" s="1" t="s">
        <v>26</v>
      </c>
      <c r="R88" s="7">
        <v>94946.32</v>
      </c>
      <c r="S88" s="7">
        <v>6781.88</v>
      </c>
      <c r="T88" s="7">
        <v>3366.99</v>
      </c>
      <c r="U88" s="7">
        <v>2162.85</v>
      </c>
      <c r="V88" s="7">
        <v>1252.04</v>
      </c>
      <c r="W88" s="10">
        <v>410.14929999999998</v>
      </c>
      <c r="X88" s="10">
        <v>137.93379999999999</v>
      </c>
    </row>
    <row r="89" spans="1:24" x14ac:dyDescent="0.25">
      <c r="A89" t="s">
        <v>86</v>
      </c>
      <c r="B89" t="s">
        <v>401</v>
      </c>
      <c r="C89" s="1" t="s">
        <v>402</v>
      </c>
      <c r="D89" s="1" t="s">
        <v>1646</v>
      </c>
      <c r="E89" s="1" t="s">
        <v>403</v>
      </c>
      <c r="F89" s="1" t="s">
        <v>1696</v>
      </c>
      <c r="G89" s="1" t="s">
        <v>1585</v>
      </c>
      <c r="H89" s="1" t="s">
        <v>21</v>
      </c>
      <c r="I89" s="1" t="s">
        <v>22</v>
      </c>
      <c r="J89" s="1" t="s">
        <v>23</v>
      </c>
      <c r="K89" s="1" t="s">
        <v>24</v>
      </c>
      <c r="L89" s="1" t="s">
        <v>23</v>
      </c>
      <c r="M89" s="2">
        <v>45155</v>
      </c>
      <c r="N89" s="2" t="s">
        <v>25</v>
      </c>
      <c r="O89" s="2" t="s">
        <v>25</v>
      </c>
      <c r="P89" s="2" t="s">
        <v>25</v>
      </c>
      <c r="Q89" s="1" t="s">
        <v>26</v>
      </c>
      <c r="R89" s="7">
        <v>101392.76</v>
      </c>
      <c r="S89" s="7">
        <v>7242.34</v>
      </c>
      <c r="T89" s="7">
        <v>3366.99</v>
      </c>
      <c r="U89" s="7">
        <v>2162.85</v>
      </c>
      <c r="V89" s="7">
        <v>1712.5</v>
      </c>
      <c r="W89" s="10">
        <v>366.26870000000002</v>
      </c>
      <c r="X89" s="10">
        <v>164.80410000000001</v>
      </c>
    </row>
    <row r="90" spans="1:24" x14ac:dyDescent="0.25">
      <c r="A90" t="s">
        <v>404</v>
      </c>
      <c r="B90" t="s">
        <v>405</v>
      </c>
      <c r="C90" s="1" t="s">
        <v>406</v>
      </c>
      <c r="D90" s="1" t="s">
        <v>1646</v>
      </c>
      <c r="E90" s="1" t="s">
        <v>407</v>
      </c>
      <c r="F90" s="1" t="s">
        <v>1696</v>
      </c>
      <c r="G90" s="1" t="s">
        <v>1585</v>
      </c>
      <c r="H90" s="1" t="s">
        <v>67</v>
      </c>
      <c r="I90" s="1" t="s">
        <v>22</v>
      </c>
      <c r="J90" s="1" t="s">
        <v>32</v>
      </c>
      <c r="K90" s="1" t="s">
        <v>33</v>
      </c>
      <c r="L90" s="1" t="s">
        <v>32</v>
      </c>
      <c r="M90" s="2">
        <v>45175</v>
      </c>
      <c r="N90" s="2" t="s">
        <v>25</v>
      </c>
      <c r="O90" s="1" t="s">
        <v>230</v>
      </c>
      <c r="P90" s="2" t="s">
        <v>25</v>
      </c>
      <c r="Q90" s="1" t="s">
        <v>26</v>
      </c>
      <c r="R90" s="7">
        <v>94946.32</v>
      </c>
      <c r="S90" s="7">
        <v>6781.88</v>
      </c>
      <c r="T90" s="7">
        <v>3366.99</v>
      </c>
      <c r="U90" s="7">
        <v>2162.85</v>
      </c>
      <c r="V90" s="7">
        <v>1252.04</v>
      </c>
      <c r="W90" s="10">
        <v>28.656700000000001</v>
      </c>
      <c r="X90" s="10">
        <v>291.09410000000003</v>
      </c>
    </row>
    <row r="91" spans="1:24" x14ac:dyDescent="0.25">
      <c r="A91" t="s">
        <v>408</v>
      </c>
      <c r="B91" t="s">
        <v>409</v>
      </c>
      <c r="C91" s="1" t="s">
        <v>410</v>
      </c>
      <c r="D91" s="1" t="s">
        <v>1646</v>
      </c>
      <c r="E91" s="1" t="s">
        <v>411</v>
      </c>
      <c r="F91" s="1" t="s">
        <v>1696</v>
      </c>
      <c r="G91" s="1" t="s">
        <v>1585</v>
      </c>
      <c r="H91" s="1" t="s">
        <v>259</v>
      </c>
      <c r="I91" s="1" t="s">
        <v>22</v>
      </c>
      <c r="J91" s="1" t="s">
        <v>23</v>
      </c>
      <c r="K91" s="1" t="s">
        <v>24</v>
      </c>
      <c r="L91" s="1" t="s">
        <v>23</v>
      </c>
      <c r="M91" s="2">
        <v>45155</v>
      </c>
      <c r="N91" s="2" t="s">
        <v>25</v>
      </c>
      <c r="O91" s="2" t="s">
        <v>25</v>
      </c>
      <c r="P91" s="2" t="s">
        <v>25</v>
      </c>
      <c r="Q91" s="1" t="s">
        <v>26</v>
      </c>
      <c r="R91" s="7">
        <v>94946.32</v>
      </c>
      <c r="S91" s="7">
        <v>6781.88</v>
      </c>
      <c r="T91" s="7">
        <v>3366.99</v>
      </c>
      <c r="U91" s="7">
        <v>2162.85</v>
      </c>
      <c r="V91" s="7">
        <v>1252.04</v>
      </c>
      <c r="W91" s="10">
        <v>425.37310000000002</v>
      </c>
      <c r="X91" s="10">
        <v>119.1247</v>
      </c>
    </row>
    <row r="92" spans="1:24" x14ac:dyDescent="0.25">
      <c r="A92" t="s">
        <v>412</v>
      </c>
      <c r="B92" t="s">
        <v>413</v>
      </c>
      <c r="C92" s="1" t="s">
        <v>414</v>
      </c>
      <c r="D92" s="1" t="s">
        <v>1647</v>
      </c>
      <c r="E92" s="1" t="s">
        <v>415</v>
      </c>
      <c r="F92" s="1" t="s">
        <v>1696</v>
      </c>
      <c r="G92" s="1" t="s">
        <v>1585</v>
      </c>
      <c r="H92" s="1" t="s">
        <v>416</v>
      </c>
      <c r="I92" s="1" t="s">
        <v>22</v>
      </c>
      <c r="J92" s="1" t="s">
        <v>32</v>
      </c>
      <c r="K92" s="1" t="s">
        <v>33</v>
      </c>
      <c r="L92" s="1" t="s">
        <v>32</v>
      </c>
      <c r="M92" s="2">
        <v>45155</v>
      </c>
      <c r="N92" s="2" t="s">
        <v>25</v>
      </c>
      <c r="O92" s="2" t="s">
        <v>25</v>
      </c>
      <c r="P92" s="2" t="s">
        <v>25</v>
      </c>
      <c r="Q92" s="1" t="s">
        <v>26</v>
      </c>
      <c r="R92" s="7">
        <v>94946.32</v>
      </c>
      <c r="S92" s="7">
        <v>6781.88</v>
      </c>
      <c r="T92" s="7">
        <v>3366.99</v>
      </c>
      <c r="U92" s="7">
        <v>2162.85</v>
      </c>
      <c r="V92" s="7">
        <v>1252.04</v>
      </c>
      <c r="W92" s="10">
        <v>110.1493</v>
      </c>
      <c r="X92" s="10">
        <v>173.76079999999999</v>
      </c>
    </row>
    <row r="93" spans="1:24" x14ac:dyDescent="0.25">
      <c r="A93" t="s">
        <v>417</v>
      </c>
      <c r="B93" t="s">
        <v>418</v>
      </c>
      <c r="C93" s="1" t="s">
        <v>419</v>
      </c>
      <c r="D93" s="1" t="s">
        <v>1647</v>
      </c>
      <c r="E93" s="1" t="s">
        <v>420</v>
      </c>
      <c r="F93" s="1" t="s">
        <v>1696</v>
      </c>
      <c r="G93" s="1" t="s">
        <v>1585</v>
      </c>
      <c r="H93" s="1" t="s">
        <v>421</v>
      </c>
      <c r="I93" s="1" t="s">
        <v>22</v>
      </c>
      <c r="J93" s="1" t="s">
        <v>32</v>
      </c>
      <c r="K93" s="1" t="s">
        <v>33</v>
      </c>
      <c r="L93" s="1" t="s">
        <v>32</v>
      </c>
      <c r="M93" s="2">
        <v>45155</v>
      </c>
      <c r="N93" s="2" t="s">
        <v>25</v>
      </c>
      <c r="O93" s="2" t="s">
        <v>25</v>
      </c>
      <c r="P93" s="2" t="s">
        <v>25</v>
      </c>
      <c r="Q93" s="1" t="s">
        <v>26</v>
      </c>
      <c r="R93" s="7">
        <v>101392.76</v>
      </c>
      <c r="S93" s="7">
        <v>7242.34</v>
      </c>
      <c r="T93" s="7">
        <v>3366.99</v>
      </c>
      <c r="U93" s="7">
        <v>2162.85</v>
      </c>
      <c r="V93" s="7">
        <v>1712.5</v>
      </c>
      <c r="W93" s="10">
        <v>146.8657</v>
      </c>
      <c r="X93" s="10">
        <v>162.11699999999999</v>
      </c>
    </row>
    <row r="94" spans="1:24" x14ac:dyDescent="0.25">
      <c r="A94" t="s">
        <v>365</v>
      </c>
      <c r="B94" t="s">
        <v>422</v>
      </c>
      <c r="C94" s="1" t="s">
        <v>423</v>
      </c>
      <c r="D94" s="1" t="s">
        <v>1646</v>
      </c>
      <c r="E94" s="1" t="s">
        <v>424</v>
      </c>
      <c r="F94" s="1" t="s">
        <v>1696</v>
      </c>
      <c r="G94" s="1" t="s">
        <v>1585</v>
      </c>
      <c r="H94" s="1" t="s">
        <v>122</v>
      </c>
      <c r="I94" s="1" t="s">
        <v>22</v>
      </c>
      <c r="J94" s="1" t="s">
        <v>303</v>
      </c>
      <c r="K94" s="1" t="s">
        <v>304</v>
      </c>
      <c r="L94" s="1" t="s">
        <v>303</v>
      </c>
      <c r="M94" s="2">
        <v>45155</v>
      </c>
      <c r="N94" s="2" t="s">
        <v>25</v>
      </c>
      <c r="O94" s="2" t="s">
        <v>25</v>
      </c>
      <c r="P94" s="2" t="s">
        <v>25</v>
      </c>
      <c r="Q94" s="1" t="s">
        <v>26</v>
      </c>
      <c r="R94" s="7">
        <v>129905.02</v>
      </c>
      <c r="S94" s="7">
        <v>9278.93</v>
      </c>
      <c r="T94" s="7">
        <v>3366.99</v>
      </c>
      <c r="U94" s="7">
        <v>2162.85</v>
      </c>
      <c r="V94" s="7">
        <v>3749.09</v>
      </c>
      <c r="W94" s="10">
        <v>120.8955</v>
      </c>
      <c r="X94" s="10">
        <v>117.33329999999999</v>
      </c>
    </row>
    <row r="95" spans="1:24" x14ac:dyDescent="0.25">
      <c r="A95" t="s">
        <v>265</v>
      </c>
      <c r="B95" t="s">
        <v>425</v>
      </c>
      <c r="C95" s="1" t="s">
        <v>426</v>
      </c>
      <c r="D95" s="1" t="s">
        <v>1646</v>
      </c>
      <c r="E95" s="1" t="s">
        <v>427</v>
      </c>
      <c r="F95" s="1" t="s">
        <v>1696</v>
      </c>
      <c r="G95" s="1" t="s">
        <v>1585</v>
      </c>
      <c r="H95" s="1" t="s">
        <v>428</v>
      </c>
      <c r="I95" s="1" t="s">
        <v>22</v>
      </c>
      <c r="J95" s="1" t="s">
        <v>32</v>
      </c>
      <c r="K95" s="1" t="s">
        <v>33</v>
      </c>
      <c r="L95" s="1" t="s">
        <v>32</v>
      </c>
      <c r="M95" s="2">
        <v>45155</v>
      </c>
      <c r="N95" s="2" t="s">
        <v>25</v>
      </c>
      <c r="O95" s="2" t="s">
        <v>25</v>
      </c>
      <c r="P95" s="2" t="s">
        <v>25</v>
      </c>
      <c r="Q95" s="1" t="s">
        <v>26</v>
      </c>
      <c r="R95" s="7">
        <v>94946.32</v>
      </c>
      <c r="S95" s="7">
        <v>6781.88</v>
      </c>
      <c r="T95" s="7">
        <v>3366.99</v>
      </c>
      <c r="U95" s="7">
        <v>2162.85</v>
      </c>
      <c r="V95" s="7">
        <v>1252.04</v>
      </c>
      <c r="W95" s="10">
        <v>49.253700000000002</v>
      </c>
      <c r="X95" s="10">
        <v>128.0814</v>
      </c>
    </row>
    <row r="96" spans="1:24" x14ac:dyDescent="0.25">
      <c r="A96" t="s">
        <v>429</v>
      </c>
      <c r="B96" t="s">
        <v>430</v>
      </c>
      <c r="C96" s="1" t="s">
        <v>431</v>
      </c>
      <c r="D96" s="1" t="s">
        <v>1647</v>
      </c>
      <c r="E96" s="1" t="s">
        <v>432</v>
      </c>
      <c r="F96" s="1" t="s">
        <v>1696</v>
      </c>
      <c r="G96" s="1" t="s">
        <v>1585</v>
      </c>
      <c r="H96" s="1" t="s">
        <v>179</v>
      </c>
      <c r="I96" s="1" t="s">
        <v>22</v>
      </c>
      <c r="J96" s="1" t="s">
        <v>23</v>
      </c>
      <c r="K96" s="1" t="s">
        <v>24</v>
      </c>
      <c r="L96" s="1" t="s">
        <v>23</v>
      </c>
      <c r="M96" s="2">
        <v>45155</v>
      </c>
      <c r="N96" s="2" t="s">
        <v>25</v>
      </c>
      <c r="O96" s="2" t="s">
        <v>25</v>
      </c>
      <c r="P96" s="2" t="s">
        <v>25</v>
      </c>
      <c r="Q96" s="1" t="s">
        <v>26</v>
      </c>
      <c r="R96" s="7">
        <v>94946.32</v>
      </c>
      <c r="S96" s="7">
        <v>6781.88</v>
      </c>
      <c r="T96" s="7">
        <v>3366.99</v>
      </c>
      <c r="U96" s="7">
        <v>2162.85</v>
      </c>
      <c r="V96" s="7">
        <v>1252.04</v>
      </c>
      <c r="W96" s="10">
        <v>382.38810000000001</v>
      </c>
      <c r="X96" s="10">
        <v>142.41220000000001</v>
      </c>
    </row>
    <row r="97" spans="1:24" x14ac:dyDescent="0.25">
      <c r="C97" s="1" t="s">
        <v>1678</v>
      </c>
      <c r="D97" s="1" t="s">
        <v>1646</v>
      </c>
      <c r="E97" s="1" t="s">
        <v>1623</v>
      </c>
      <c r="F97" s="1" t="s">
        <v>1698</v>
      </c>
      <c r="G97" s="1" t="s">
        <v>1598</v>
      </c>
      <c r="H97" s="1" t="s">
        <v>1692</v>
      </c>
      <c r="I97" s="1" t="s">
        <v>22</v>
      </c>
      <c r="J97" s="1" t="s">
        <v>1662</v>
      </c>
      <c r="K97" s="1" t="s">
        <v>1662</v>
      </c>
      <c r="L97" s="1" t="s">
        <v>1693</v>
      </c>
      <c r="M97" s="2">
        <v>45289</v>
      </c>
      <c r="N97" s="2" t="s">
        <v>25</v>
      </c>
      <c r="O97" s="2" t="s">
        <v>1677</v>
      </c>
      <c r="P97" s="2" t="s">
        <v>25</v>
      </c>
      <c r="Q97" s="1" t="s">
        <v>26</v>
      </c>
      <c r="R97" s="7">
        <v>91097.04</v>
      </c>
      <c r="S97" s="7">
        <v>7591.42</v>
      </c>
      <c r="T97" s="7">
        <v>7591.42</v>
      </c>
      <c r="U97" s="7">
        <v>0</v>
      </c>
      <c r="V97" s="7">
        <v>0</v>
      </c>
      <c r="W97" s="10">
        <v>170.14930000000001</v>
      </c>
      <c r="X97" s="10">
        <v>259.74549999999999</v>
      </c>
    </row>
    <row r="98" spans="1:24" x14ac:dyDescent="0.25">
      <c r="A98" t="s">
        <v>52</v>
      </c>
      <c r="B98" t="s">
        <v>433</v>
      </c>
      <c r="C98" s="1" t="s">
        <v>434</v>
      </c>
      <c r="D98" s="1" t="s">
        <v>1647</v>
      </c>
      <c r="E98" s="1" t="s">
        <v>435</v>
      </c>
      <c r="F98" s="1" t="s">
        <v>1696</v>
      </c>
      <c r="G98" s="1" t="s">
        <v>1585</v>
      </c>
      <c r="H98" s="1" t="s">
        <v>51</v>
      </c>
      <c r="I98" s="1" t="s">
        <v>22</v>
      </c>
      <c r="J98" s="1" t="s">
        <v>23</v>
      </c>
      <c r="K98" s="1" t="s">
        <v>24</v>
      </c>
      <c r="L98" s="1" t="s">
        <v>23</v>
      </c>
      <c r="M98" s="2">
        <v>45155</v>
      </c>
      <c r="N98" s="2" t="s">
        <v>25</v>
      </c>
      <c r="O98" s="2" t="s">
        <v>25</v>
      </c>
      <c r="P98" s="2" t="s">
        <v>25</v>
      </c>
      <c r="Q98" s="1" t="s">
        <v>26</v>
      </c>
      <c r="R98" s="7">
        <v>89103.7</v>
      </c>
      <c r="S98" s="7">
        <v>6364.55</v>
      </c>
      <c r="T98" s="7">
        <v>3366.99</v>
      </c>
      <c r="U98" s="7">
        <v>2162.85</v>
      </c>
      <c r="V98" s="7">
        <v>834.71</v>
      </c>
      <c r="W98" s="10">
        <v>402.98509999999999</v>
      </c>
      <c r="X98" s="10">
        <v>60.010199999999998</v>
      </c>
    </row>
    <row r="99" spans="1:24" x14ac:dyDescent="0.25">
      <c r="A99" t="s">
        <v>436</v>
      </c>
      <c r="B99" t="s">
        <v>437</v>
      </c>
      <c r="C99" s="1" t="s">
        <v>438</v>
      </c>
      <c r="D99" s="1" t="s">
        <v>1646</v>
      </c>
      <c r="E99" s="1" t="s">
        <v>439</v>
      </c>
      <c r="F99" s="1" t="s">
        <v>1696</v>
      </c>
      <c r="G99" s="1" t="s">
        <v>1585</v>
      </c>
      <c r="H99" s="1" t="s">
        <v>95</v>
      </c>
      <c r="I99" s="1" t="s">
        <v>22</v>
      </c>
      <c r="J99" s="1" t="s">
        <v>23</v>
      </c>
      <c r="K99" s="1" t="s">
        <v>24</v>
      </c>
      <c r="L99" s="1" t="s">
        <v>23</v>
      </c>
      <c r="M99" s="2">
        <v>45639</v>
      </c>
      <c r="N99" s="2" t="s">
        <v>25</v>
      </c>
      <c r="O99" s="1" t="s">
        <v>646</v>
      </c>
      <c r="P99" s="2" t="s">
        <v>25</v>
      </c>
      <c r="Q99" s="1" t="s">
        <v>26</v>
      </c>
      <c r="R99" s="7">
        <v>89103.7</v>
      </c>
      <c r="S99" s="7">
        <v>6364.55</v>
      </c>
      <c r="T99" s="7">
        <v>3366.99</v>
      </c>
      <c r="U99" s="7">
        <v>2162.85</v>
      </c>
      <c r="V99" s="7">
        <v>834.71</v>
      </c>
      <c r="W99" s="10">
        <v>194.32839999999999</v>
      </c>
      <c r="X99" s="10">
        <v>9.8523999999999994</v>
      </c>
    </row>
    <row r="100" spans="1:24" x14ac:dyDescent="0.25">
      <c r="A100" t="s">
        <v>96</v>
      </c>
      <c r="B100" t="s">
        <v>440</v>
      </c>
      <c r="C100" s="1" t="s">
        <v>441</v>
      </c>
      <c r="D100" s="1" t="s">
        <v>1646</v>
      </c>
      <c r="E100" s="1" t="s">
        <v>442</v>
      </c>
      <c r="F100" s="1" t="s">
        <v>1696</v>
      </c>
      <c r="G100" s="1" t="s">
        <v>1585</v>
      </c>
      <c r="H100" s="1" t="s">
        <v>222</v>
      </c>
      <c r="I100" s="1" t="s">
        <v>22</v>
      </c>
      <c r="J100" s="1" t="s">
        <v>23</v>
      </c>
      <c r="K100" s="1" t="s">
        <v>24</v>
      </c>
      <c r="L100" s="1" t="s">
        <v>23</v>
      </c>
      <c r="M100" s="2">
        <v>45155</v>
      </c>
      <c r="N100" s="2">
        <v>45365</v>
      </c>
      <c r="O100" s="2" t="s">
        <v>25</v>
      </c>
      <c r="P100" s="1" t="s">
        <v>220</v>
      </c>
      <c r="Q100" s="1" t="s">
        <v>35</v>
      </c>
      <c r="R100" s="7">
        <v>82306.42</v>
      </c>
      <c r="S100" s="7">
        <v>5879.03</v>
      </c>
      <c r="T100" s="7">
        <v>5879.03</v>
      </c>
      <c r="U100" s="7">
        <v>0</v>
      </c>
      <c r="V100" s="7">
        <v>0</v>
      </c>
      <c r="W100" s="10">
        <v>452.23880000000003</v>
      </c>
      <c r="X100" s="10">
        <v>344.83460000000002</v>
      </c>
    </row>
    <row r="101" spans="1:24" x14ac:dyDescent="0.25">
      <c r="A101" t="s">
        <v>443</v>
      </c>
      <c r="B101" t="s">
        <v>444</v>
      </c>
      <c r="C101" s="1" t="s">
        <v>445</v>
      </c>
      <c r="D101" s="1" t="s">
        <v>1646</v>
      </c>
      <c r="E101" s="1" t="s">
        <v>446</v>
      </c>
      <c r="F101" s="1" t="s">
        <v>1696</v>
      </c>
      <c r="G101" s="1" t="s">
        <v>1585</v>
      </c>
      <c r="H101" s="1" t="s">
        <v>447</v>
      </c>
      <c r="I101" s="1" t="s">
        <v>22</v>
      </c>
      <c r="J101" s="1" t="s">
        <v>32</v>
      </c>
      <c r="K101" s="1" t="s">
        <v>33</v>
      </c>
      <c r="L101" s="1" t="s">
        <v>32</v>
      </c>
      <c r="M101" s="2">
        <v>45335</v>
      </c>
      <c r="N101" s="2" t="s">
        <v>25</v>
      </c>
      <c r="O101" s="1" t="s">
        <v>306</v>
      </c>
      <c r="P101" s="2" t="s">
        <v>25</v>
      </c>
      <c r="Q101" s="1" t="s">
        <v>26</v>
      </c>
      <c r="R101" s="7">
        <v>94946.32</v>
      </c>
      <c r="S101" s="7">
        <v>6781.88</v>
      </c>
      <c r="T101" s="7">
        <v>3366.99</v>
      </c>
      <c r="U101" s="7">
        <v>2162.85</v>
      </c>
      <c r="V101" s="7">
        <v>1252.04</v>
      </c>
      <c r="W101" s="10">
        <v>33.134300000000003</v>
      </c>
      <c r="X101" s="10">
        <v>111.06359999999999</v>
      </c>
    </row>
    <row r="102" spans="1:24" x14ac:dyDescent="0.25">
      <c r="A102" t="s">
        <v>277</v>
      </c>
      <c r="B102" t="s">
        <v>448</v>
      </c>
      <c r="C102" s="1" t="s">
        <v>449</v>
      </c>
      <c r="D102" s="1" t="s">
        <v>1646</v>
      </c>
      <c r="E102" s="1" t="s">
        <v>450</v>
      </c>
      <c r="F102" s="1" t="s">
        <v>1696</v>
      </c>
      <c r="G102" s="1" t="s">
        <v>1585</v>
      </c>
      <c r="H102" s="1" t="s">
        <v>166</v>
      </c>
      <c r="I102" s="1" t="s">
        <v>22</v>
      </c>
      <c r="J102" s="1" t="s">
        <v>23</v>
      </c>
      <c r="K102" s="1" t="s">
        <v>24</v>
      </c>
      <c r="L102" s="1" t="s">
        <v>23</v>
      </c>
      <c r="M102" s="2">
        <v>45155</v>
      </c>
      <c r="N102" s="2" t="s">
        <v>25</v>
      </c>
      <c r="O102" s="2" t="s">
        <v>25</v>
      </c>
      <c r="P102" s="2" t="s">
        <v>25</v>
      </c>
      <c r="Q102" s="1" t="s">
        <v>26</v>
      </c>
      <c r="R102" s="7">
        <v>94946.32</v>
      </c>
      <c r="S102" s="7">
        <v>6781.88</v>
      </c>
      <c r="T102" s="7">
        <v>3366.99</v>
      </c>
      <c r="U102" s="7">
        <v>2162.85</v>
      </c>
      <c r="V102" s="7">
        <v>1252.04</v>
      </c>
      <c r="W102" s="10">
        <v>428.05970000000002</v>
      </c>
      <c r="X102" s="10">
        <v>197.04830000000001</v>
      </c>
    </row>
    <row r="103" spans="1:24" x14ac:dyDescent="0.25">
      <c r="A103" t="s">
        <v>451</v>
      </c>
      <c r="B103" t="s">
        <v>452</v>
      </c>
      <c r="C103" s="1" t="s">
        <v>453</v>
      </c>
      <c r="D103" s="1" t="s">
        <v>1646</v>
      </c>
      <c r="E103" s="1" t="s">
        <v>454</v>
      </c>
      <c r="F103" s="1" t="s">
        <v>1696</v>
      </c>
      <c r="G103" s="1" t="s">
        <v>1585</v>
      </c>
      <c r="H103" s="1" t="s">
        <v>40</v>
      </c>
      <c r="I103" s="1" t="s">
        <v>22</v>
      </c>
      <c r="J103" s="1" t="s">
        <v>23</v>
      </c>
      <c r="K103" s="1" t="s">
        <v>24</v>
      </c>
      <c r="L103" s="1" t="s">
        <v>23</v>
      </c>
      <c r="M103" s="2">
        <v>45155</v>
      </c>
      <c r="N103" s="2" t="s">
        <v>25</v>
      </c>
      <c r="O103" s="2" t="s">
        <v>25</v>
      </c>
      <c r="P103" s="2" t="s">
        <v>25</v>
      </c>
      <c r="Q103" s="1" t="s">
        <v>26</v>
      </c>
      <c r="R103" s="7">
        <v>79119.740000000005</v>
      </c>
      <c r="S103" s="7">
        <v>5651.41</v>
      </c>
      <c r="T103" s="7">
        <v>3366.99</v>
      </c>
      <c r="U103" s="7">
        <v>1032.3800000000001</v>
      </c>
      <c r="V103" s="7">
        <v>1252.04</v>
      </c>
      <c r="W103" s="10">
        <v>358.209</v>
      </c>
      <c r="X103" s="10">
        <v>214.06620000000001</v>
      </c>
    </row>
    <row r="104" spans="1:24" x14ac:dyDescent="0.25">
      <c r="A104" t="s">
        <v>455</v>
      </c>
      <c r="B104" t="s">
        <v>456</v>
      </c>
      <c r="C104" s="1" t="s">
        <v>457</v>
      </c>
      <c r="D104" s="1" t="s">
        <v>1646</v>
      </c>
      <c r="E104" s="1" t="s">
        <v>458</v>
      </c>
      <c r="F104" s="1" t="s">
        <v>1696</v>
      </c>
      <c r="G104" s="1" t="s">
        <v>1585</v>
      </c>
      <c r="H104" s="1" t="s">
        <v>67</v>
      </c>
      <c r="I104" s="1" t="s">
        <v>22</v>
      </c>
      <c r="J104" s="1" t="s">
        <v>23</v>
      </c>
      <c r="K104" s="1" t="s">
        <v>24</v>
      </c>
      <c r="L104" s="1" t="s">
        <v>23</v>
      </c>
      <c r="M104" s="2">
        <v>45155</v>
      </c>
      <c r="N104" s="2" t="s">
        <v>25</v>
      </c>
      <c r="O104" s="2" t="s">
        <v>25</v>
      </c>
      <c r="P104" s="2" t="s">
        <v>25</v>
      </c>
      <c r="Q104" s="1" t="s">
        <v>26</v>
      </c>
      <c r="R104" s="7">
        <v>94946.32</v>
      </c>
      <c r="S104" s="7">
        <v>6781.88</v>
      </c>
      <c r="T104" s="7">
        <v>3366.99</v>
      </c>
      <c r="U104" s="7">
        <v>2162.85</v>
      </c>
      <c r="V104" s="7">
        <v>1252.04</v>
      </c>
      <c r="W104" s="10">
        <v>334.0299</v>
      </c>
      <c r="X104" s="10">
        <v>44.783700000000003</v>
      </c>
    </row>
    <row r="105" spans="1:24" x14ac:dyDescent="0.25">
      <c r="A105" t="s">
        <v>68</v>
      </c>
      <c r="B105" t="s">
        <v>459</v>
      </c>
      <c r="C105" s="1" t="s">
        <v>460</v>
      </c>
      <c r="D105" s="1" t="s">
        <v>1647</v>
      </c>
      <c r="E105" s="1" t="s">
        <v>461</v>
      </c>
      <c r="F105" s="1" t="s">
        <v>1696</v>
      </c>
      <c r="G105" s="1" t="s">
        <v>1585</v>
      </c>
      <c r="H105" s="1" t="s">
        <v>462</v>
      </c>
      <c r="I105" s="1" t="s">
        <v>22</v>
      </c>
      <c r="J105" s="1" t="s">
        <v>41</v>
      </c>
      <c r="K105" s="1" t="s">
        <v>42</v>
      </c>
      <c r="L105" s="1" t="s">
        <v>41</v>
      </c>
      <c r="M105" s="2">
        <v>45155</v>
      </c>
      <c r="N105" s="2" t="s">
        <v>25</v>
      </c>
      <c r="O105" s="2" t="s">
        <v>25</v>
      </c>
      <c r="P105" s="2" t="s">
        <v>25</v>
      </c>
      <c r="Q105" s="1" t="s">
        <v>26</v>
      </c>
      <c r="R105" s="7">
        <v>94946.32</v>
      </c>
      <c r="S105" s="7">
        <v>6781.88</v>
      </c>
      <c r="T105" s="7">
        <v>3366.99</v>
      </c>
      <c r="U105" s="7">
        <v>2162.85</v>
      </c>
      <c r="V105" s="7">
        <v>1252.04</v>
      </c>
      <c r="W105" s="10">
        <v>337.61189999999999</v>
      </c>
      <c r="X105" s="10">
        <v>133.4555</v>
      </c>
    </row>
    <row r="106" spans="1:24" x14ac:dyDescent="0.25">
      <c r="A106" t="s">
        <v>463</v>
      </c>
      <c r="B106" t="s">
        <v>464</v>
      </c>
      <c r="C106" s="1" t="s">
        <v>465</v>
      </c>
      <c r="D106" s="1" t="s">
        <v>1646</v>
      </c>
      <c r="E106" s="1" t="s">
        <v>466</v>
      </c>
      <c r="F106" s="1" t="s">
        <v>1696</v>
      </c>
      <c r="G106" s="1" t="s">
        <v>1585</v>
      </c>
      <c r="H106" s="1" t="s">
        <v>31</v>
      </c>
      <c r="I106" s="1" t="s">
        <v>22</v>
      </c>
      <c r="J106" s="1" t="s">
        <v>23</v>
      </c>
      <c r="K106" s="1" t="s">
        <v>24</v>
      </c>
      <c r="L106" s="1" t="s">
        <v>23</v>
      </c>
      <c r="M106" s="2">
        <v>45155</v>
      </c>
      <c r="N106" s="2" t="s">
        <v>25</v>
      </c>
      <c r="O106" s="2" t="s">
        <v>25</v>
      </c>
      <c r="P106" s="2" t="s">
        <v>25</v>
      </c>
      <c r="Q106" s="1" t="s">
        <v>26</v>
      </c>
      <c r="R106" s="7">
        <v>94946.32</v>
      </c>
      <c r="S106" s="7">
        <v>6781.88</v>
      </c>
      <c r="T106" s="7">
        <v>3366.99</v>
      </c>
      <c r="U106" s="7">
        <v>2162.85</v>
      </c>
      <c r="V106" s="7">
        <v>1252.04</v>
      </c>
      <c r="W106" s="10">
        <v>428.05970000000002</v>
      </c>
      <c r="X106" s="10">
        <v>312.59030000000001</v>
      </c>
    </row>
    <row r="107" spans="1:24" x14ac:dyDescent="0.25">
      <c r="A107" t="s">
        <v>467</v>
      </c>
      <c r="B107" t="s">
        <v>468</v>
      </c>
      <c r="C107" s="1" t="s">
        <v>469</v>
      </c>
      <c r="D107" s="1" t="s">
        <v>1647</v>
      </c>
      <c r="E107" s="1" t="s">
        <v>470</v>
      </c>
      <c r="F107" s="1" t="s">
        <v>1696</v>
      </c>
      <c r="G107" s="1" t="s">
        <v>1585</v>
      </c>
      <c r="H107" s="1" t="s">
        <v>90</v>
      </c>
      <c r="I107" s="1" t="s">
        <v>22</v>
      </c>
      <c r="J107" s="1" t="s">
        <v>23</v>
      </c>
      <c r="K107" s="1" t="s">
        <v>24</v>
      </c>
      <c r="L107" s="1" t="s">
        <v>23</v>
      </c>
      <c r="M107" s="2">
        <v>45155</v>
      </c>
      <c r="N107" s="2">
        <v>45288</v>
      </c>
      <c r="O107" s="2" t="s">
        <v>25</v>
      </c>
      <c r="P107" s="1" t="s">
        <v>1504</v>
      </c>
      <c r="Q107" s="1" t="s">
        <v>35</v>
      </c>
      <c r="R107" s="7">
        <v>71897</v>
      </c>
      <c r="S107" s="7">
        <v>5135.5</v>
      </c>
      <c r="T107" s="7">
        <v>3142.14</v>
      </c>
      <c r="U107" s="7">
        <v>2018.41</v>
      </c>
      <c r="V107" s="7">
        <v>0</v>
      </c>
      <c r="W107" s="10">
        <v>352.83580000000001</v>
      </c>
      <c r="X107" s="10">
        <v>27.765899999999998</v>
      </c>
    </row>
    <row r="108" spans="1:24" x14ac:dyDescent="0.25">
      <c r="A108" t="s">
        <v>471</v>
      </c>
      <c r="B108" t="s">
        <v>472</v>
      </c>
      <c r="C108" s="1" t="s">
        <v>473</v>
      </c>
      <c r="D108" s="1" t="s">
        <v>1646</v>
      </c>
      <c r="E108" s="1" t="s">
        <v>474</v>
      </c>
      <c r="F108" s="1" t="s">
        <v>1696</v>
      </c>
      <c r="G108" s="1" t="s">
        <v>1585</v>
      </c>
      <c r="H108" s="1" t="s">
        <v>166</v>
      </c>
      <c r="I108" s="1" t="s">
        <v>22</v>
      </c>
      <c r="J108" s="1" t="s">
        <v>41</v>
      </c>
      <c r="K108" s="1" t="s">
        <v>42</v>
      </c>
      <c r="L108" s="1" t="s">
        <v>41</v>
      </c>
      <c r="M108" s="2">
        <v>45155</v>
      </c>
      <c r="N108" s="2" t="s">
        <v>25</v>
      </c>
      <c r="O108" s="2" t="s">
        <v>25</v>
      </c>
      <c r="P108" s="2" t="s">
        <v>25</v>
      </c>
      <c r="Q108" s="1" t="s">
        <v>26</v>
      </c>
      <c r="R108" s="7">
        <v>94946.32</v>
      </c>
      <c r="S108" s="7">
        <v>6781.88</v>
      </c>
      <c r="T108" s="7">
        <v>3366.99</v>
      </c>
      <c r="U108" s="7">
        <v>2162.85</v>
      </c>
      <c r="V108" s="7">
        <v>1252.04</v>
      </c>
      <c r="W108" s="10">
        <v>337.61189999999999</v>
      </c>
      <c r="X108" s="10">
        <v>72.549599999999998</v>
      </c>
    </row>
    <row r="109" spans="1:24" x14ac:dyDescent="0.25">
      <c r="A109" t="s">
        <v>475</v>
      </c>
      <c r="B109" t="s">
        <v>476</v>
      </c>
      <c r="C109" s="1" t="s">
        <v>477</v>
      </c>
      <c r="D109" s="1" t="s">
        <v>1646</v>
      </c>
      <c r="E109" s="1" t="s">
        <v>478</v>
      </c>
      <c r="F109" s="1" t="s">
        <v>1696</v>
      </c>
      <c r="G109" s="1" t="s">
        <v>1585</v>
      </c>
      <c r="H109" s="1" t="s">
        <v>479</v>
      </c>
      <c r="I109" s="1" t="s">
        <v>22</v>
      </c>
      <c r="J109" s="1" t="s">
        <v>23</v>
      </c>
      <c r="K109" s="1" t="s">
        <v>24</v>
      </c>
      <c r="L109" s="1" t="s">
        <v>23</v>
      </c>
      <c r="M109" s="2">
        <v>45155</v>
      </c>
      <c r="N109" s="2" t="s">
        <v>25</v>
      </c>
      <c r="O109" s="2" t="s">
        <v>25</v>
      </c>
      <c r="P109" s="2" t="s">
        <v>25</v>
      </c>
      <c r="Q109" s="1" t="s">
        <v>26</v>
      </c>
      <c r="R109" s="7">
        <v>94946.32</v>
      </c>
      <c r="S109" s="7">
        <v>6781.88</v>
      </c>
      <c r="T109" s="7">
        <v>3366.99</v>
      </c>
      <c r="U109" s="7">
        <v>2162.85</v>
      </c>
      <c r="V109" s="7">
        <v>1252.04</v>
      </c>
      <c r="W109" s="10">
        <v>427.16419999999999</v>
      </c>
      <c r="X109" s="10">
        <v>334.98219999999998</v>
      </c>
    </row>
    <row r="110" spans="1:24" x14ac:dyDescent="0.25">
      <c r="A110" t="s">
        <v>480</v>
      </c>
      <c r="B110" t="s">
        <v>481</v>
      </c>
      <c r="C110" s="1" t="s">
        <v>482</v>
      </c>
      <c r="D110" s="1" t="s">
        <v>1647</v>
      </c>
      <c r="E110" s="1" t="s">
        <v>483</v>
      </c>
      <c r="F110" s="1" t="s">
        <v>1696</v>
      </c>
      <c r="G110" s="1" t="s">
        <v>1585</v>
      </c>
      <c r="H110" s="1" t="s">
        <v>416</v>
      </c>
      <c r="I110" s="1" t="s">
        <v>22</v>
      </c>
      <c r="J110" s="1" t="s">
        <v>23</v>
      </c>
      <c r="K110" s="1" t="s">
        <v>24</v>
      </c>
      <c r="L110" s="1" t="s">
        <v>23</v>
      </c>
      <c r="M110" s="2">
        <v>45155</v>
      </c>
      <c r="N110" s="2" t="s">
        <v>25</v>
      </c>
      <c r="O110" s="2" t="s">
        <v>25</v>
      </c>
      <c r="P110" s="2" t="s">
        <v>25</v>
      </c>
      <c r="Q110" s="1" t="s">
        <v>26</v>
      </c>
      <c r="R110" s="7">
        <v>89103.7</v>
      </c>
      <c r="S110" s="7">
        <v>6364.55</v>
      </c>
      <c r="T110" s="7">
        <v>3366.99</v>
      </c>
      <c r="U110" s="7">
        <v>2162.85</v>
      </c>
      <c r="V110" s="7">
        <v>834.71</v>
      </c>
      <c r="W110" s="10">
        <v>220.29849999999999</v>
      </c>
      <c r="X110" s="10">
        <v>7.1654</v>
      </c>
    </row>
    <row r="111" spans="1:24" x14ac:dyDescent="0.25">
      <c r="A111" t="s">
        <v>436</v>
      </c>
      <c r="B111" t="s">
        <v>484</v>
      </c>
      <c r="C111" s="1" t="s">
        <v>485</v>
      </c>
      <c r="D111" s="1" t="s">
        <v>1646</v>
      </c>
      <c r="E111" s="1" t="s">
        <v>486</v>
      </c>
      <c r="F111" s="1" t="s">
        <v>1696</v>
      </c>
      <c r="G111" s="1" t="s">
        <v>1585</v>
      </c>
      <c r="H111" s="1" t="s">
        <v>487</v>
      </c>
      <c r="I111" s="1" t="s">
        <v>22</v>
      </c>
      <c r="J111" s="1" t="s">
        <v>32</v>
      </c>
      <c r="K111" s="1" t="s">
        <v>33</v>
      </c>
      <c r="L111" s="1" t="s">
        <v>32</v>
      </c>
      <c r="M111" s="2">
        <v>45155</v>
      </c>
      <c r="N111" s="2" t="s">
        <v>25</v>
      </c>
      <c r="O111" s="2" t="s">
        <v>25</v>
      </c>
      <c r="P111" s="2" t="s">
        <v>25</v>
      </c>
      <c r="Q111" s="1" t="s">
        <v>26</v>
      </c>
      <c r="R111" s="7">
        <v>94946.32</v>
      </c>
      <c r="S111" s="7">
        <v>6781.88</v>
      </c>
      <c r="T111" s="7">
        <v>3366.99</v>
      </c>
      <c r="U111" s="7">
        <v>2162.85</v>
      </c>
      <c r="V111" s="7">
        <v>1252.04</v>
      </c>
      <c r="W111" s="10">
        <v>6.2686999999999999</v>
      </c>
      <c r="X111" s="10">
        <v>259.74549999999999</v>
      </c>
    </row>
    <row r="112" spans="1:24" x14ac:dyDescent="0.25">
      <c r="A112" t="s">
        <v>488</v>
      </c>
      <c r="B112" t="s">
        <v>489</v>
      </c>
      <c r="C112" s="1" t="s">
        <v>490</v>
      </c>
      <c r="D112" s="1" t="s">
        <v>1647</v>
      </c>
      <c r="E112" s="1" t="s">
        <v>491</v>
      </c>
      <c r="F112" s="1" t="s">
        <v>1698</v>
      </c>
      <c r="G112" s="1" t="s">
        <v>1642</v>
      </c>
      <c r="H112" s="1" t="s">
        <v>56</v>
      </c>
      <c r="I112" s="1" t="s">
        <v>22</v>
      </c>
      <c r="J112" s="1" t="s">
        <v>125</v>
      </c>
      <c r="K112" s="1" t="s">
        <v>124</v>
      </c>
      <c r="L112" s="1" t="s">
        <v>125</v>
      </c>
      <c r="M112" s="2">
        <v>45155</v>
      </c>
      <c r="N112" s="2" t="s">
        <v>25</v>
      </c>
      <c r="O112" s="2" t="s">
        <v>25</v>
      </c>
      <c r="P112" s="2" t="s">
        <v>25</v>
      </c>
      <c r="Q112" s="1" t="s">
        <v>26</v>
      </c>
      <c r="R112" s="7">
        <v>104631.16</v>
      </c>
      <c r="S112" s="7">
        <v>7514.82</v>
      </c>
      <c r="T112" s="7">
        <v>3366.99</v>
      </c>
      <c r="U112" s="7">
        <v>1032.3800000000001</v>
      </c>
      <c r="V112" s="7">
        <v>0</v>
      </c>
      <c r="W112" s="10">
        <v>170.14930000000001</v>
      </c>
      <c r="X112" s="10">
        <v>248.9975</v>
      </c>
    </row>
    <row r="113" spans="1:24" x14ac:dyDescent="0.25">
      <c r="A113" t="s">
        <v>492</v>
      </c>
      <c r="B113" t="s">
        <v>493</v>
      </c>
      <c r="C113" s="1" t="s">
        <v>494</v>
      </c>
      <c r="D113" s="1" t="s">
        <v>1646</v>
      </c>
      <c r="E113" s="1" t="s">
        <v>495</v>
      </c>
      <c r="F113" s="1" t="s">
        <v>1696</v>
      </c>
      <c r="G113" s="1" t="s">
        <v>1585</v>
      </c>
      <c r="H113" s="1" t="s">
        <v>416</v>
      </c>
      <c r="I113" s="1" t="s">
        <v>22</v>
      </c>
      <c r="J113" s="1" t="s">
        <v>32</v>
      </c>
      <c r="K113" s="1" t="s">
        <v>33</v>
      </c>
      <c r="L113" s="1" t="s">
        <v>32</v>
      </c>
      <c r="M113" s="2">
        <v>45155</v>
      </c>
      <c r="N113" s="2" t="s">
        <v>25</v>
      </c>
      <c r="O113" s="2" t="s">
        <v>25</v>
      </c>
      <c r="P113" s="2" t="s">
        <v>25</v>
      </c>
      <c r="Q113" s="1" t="s">
        <v>26</v>
      </c>
      <c r="R113" s="7">
        <v>94946.32</v>
      </c>
      <c r="S113" s="7">
        <v>6781.88</v>
      </c>
      <c r="T113" s="7">
        <v>3366.99</v>
      </c>
      <c r="U113" s="7">
        <v>2162.85</v>
      </c>
      <c r="V113" s="7">
        <v>1252.04</v>
      </c>
      <c r="W113" s="10">
        <v>99.403000000000006</v>
      </c>
      <c r="X113" s="10">
        <v>259.74549999999999</v>
      </c>
    </row>
    <row r="114" spans="1:24" x14ac:dyDescent="0.25">
      <c r="A114" t="s">
        <v>496</v>
      </c>
      <c r="B114" t="s">
        <v>497</v>
      </c>
      <c r="C114" s="1" t="s">
        <v>498</v>
      </c>
      <c r="D114" s="1" t="s">
        <v>1646</v>
      </c>
      <c r="E114" s="1" t="s">
        <v>499</v>
      </c>
      <c r="F114" s="1" t="s">
        <v>1696</v>
      </c>
      <c r="G114" s="1" t="s">
        <v>1585</v>
      </c>
      <c r="H114" s="1" t="s">
        <v>40</v>
      </c>
      <c r="I114" s="1" t="s">
        <v>22</v>
      </c>
      <c r="J114" s="1" t="s">
        <v>125</v>
      </c>
      <c r="K114" s="1" t="s">
        <v>124</v>
      </c>
      <c r="L114" s="1" t="s">
        <v>125</v>
      </c>
      <c r="M114" s="2">
        <v>45155</v>
      </c>
      <c r="N114" s="2">
        <v>45589</v>
      </c>
      <c r="O114" s="2" t="s">
        <v>25</v>
      </c>
      <c r="P114" s="1" t="s">
        <v>1227</v>
      </c>
      <c r="Q114" s="1" t="s">
        <v>35</v>
      </c>
      <c r="R114" s="7">
        <v>102064.92</v>
      </c>
      <c r="S114" s="7">
        <v>8505.41</v>
      </c>
      <c r="T114" s="7">
        <v>3236.32</v>
      </c>
      <c r="U114" s="7">
        <v>992.31</v>
      </c>
      <c r="V114" s="7">
        <v>2983.89</v>
      </c>
      <c r="W114" s="10">
        <v>261.49250000000001</v>
      </c>
      <c r="X114" s="10">
        <v>103.0025</v>
      </c>
    </row>
    <row r="115" spans="1:24" x14ac:dyDescent="0.25">
      <c r="C115" s="1" t="s">
        <v>1688</v>
      </c>
      <c r="D115" s="1" t="s">
        <v>1646</v>
      </c>
      <c r="E115" s="1" t="s">
        <v>1633</v>
      </c>
      <c r="F115" s="1" t="s">
        <v>1698</v>
      </c>
      <c r="G115" s="1" t="s">
        <v>1653</v>
      </c>
      <c r="H115" s="1" t="s">
        <v>1692</v>
      </c>
      <c r="I115" s="1" t="s">
        <v>22</v>
      </c>
      <c r="J115" s="1" t="s">
        <v>1662</v>
      </c>
      <c r="K115" s="1" t="s">
        <v>1662</v>
      </c>
      <c r="L115" s="1" t="s">
        <v>1693</v>
      </c>
      <c r="M115" s="2">
        <v>45155</v>
      </c>
      <c r="N115" s="2">
        <v>45541</v>
      </c>
      <c r="O115" s="2" t="s">
        <v>25</v>
      </c>
      <c r="P115" s="1" t="s">
        <v>820</v>
      </c>
      <c r="Q115" s="1" t="s">
        <v>35</v>
      </c>
      <c r="R115" s="7">
        <v>79415.16</v>
      </c>
      <c r="S115" s="7">
        <v>6617.93</v>
      </c>
      <c r="T115" s="7">
        <v>6617.93</v>
      </c>
      <c r="U115" s="7">
        <v>0</v>
      </c>
      <c r="V115" s="7">
        <v>0</v>
      </c>
      <c r="W115" s="10">
        <v>309.85070000000002</v>
      </c>
      <c r="X115" s="10">
        <v>259.74549999999999</v>
      </c>
    </row>
    <row r="116" spans="1:24" x14ac:dyDescent="0.25">
      <c r="C116" s="1" t="s">
        <v>1680</v>
      </c>
      <c r="D116" s="1" t="s">
        <v>1646</v>
      </c>
      <c r="E116" s="1" t="s">
        <v>1625</v>
      </c>
      <c r="F116" s="1" t="s">
        <v>1698</v>
      </c>
      <c r="G116" s="1" t="s">
        <v>1635</v>
      </c>
      <c r="H116" s="1" t="s">
        <v>1692</v>
      </c>
      <c r="I116" s="1" t="s">
        <v>22</v>
      </c>
      <c r="J116" s="1" t="s">
        <v>1662</v>
      </c>
      <c r="K116" s="1" t="s">
        <v>1662</v>
      </c>
      <c r="L116" s="1" t="s">
        <v>1693</v>
      </c>
      <c r="M116" s="2">
        <v>45155</v>
      </c>
      <c r="N116" s="2" t="s">
        <v>25</v>
      </c>
      <c r="O116" s="2" t="s">
        <v>25</v>
      </c>
      <c r="P116" s="2" t="s">
        <v>25</v>
      </c>
      <c r="Q116" s="1" t="s">
        <v>26</v>
      </c>
      <c r="R116" s="7">
        <v>85513.32</v>
      </c>
      <c r="S116" s="7">
        <v>7126.11</v>
      </c>
      <c r="T116" s="7">
        <v>7126.11</v>
      </c>
      <c r="U116" s="7">
        <v>0</v>
      </c>
      <c r="V116" s="7">
        <v>0</v>
      </c>
      <c r="W116" s="10">
        <v>174.62690000000001</v>
      </c>
      <c r="X116" s="10">
        <v>196.15270000000001</v>
      </c>
    </row>
    <row r="117" spans="1:24" x14ac:dyDescent="0.25">
      <c r="A117" t="s">
        <v>500</v>
      </c>
      <c r="B117" t="s">
        <v>501</v>
      </c>
      <c r="C117" s="1" t="s">
        <v>502</v>
      </c>
      <c r="D117" s="1" t="s">
        <v>1646</v>
      </c>
      <c r="E117" s="1" t="s">
        <v>503</v>
      </c>
      <c r="F117" s="1" t="s">
        <v>1696</v>
      </c>
      <c r="G117" s="1" t="s">
        <v>1585</v>
      </c>
      <c r="H117" s="1" t="s">
        <v>139</v>
      </c>
      <c r="I117" s="1" t="s">
        <v>22</v>
      </c>
      <c r="J117" s="1" t="s">
        <v>62</v>
      </c>
      <c r="K117" s="1" t="s">
        <v>63</v>
      </c>
      <c r="L117" s="1" t="s">
        <v>62</v>
      </c>
      <c r="M117" s="2">
        <v>45155</v>
      </c>
      <c r="N117" s="2">
        <v>45748</v>
      </c>
      <c r="O117" s="2" t="s">
        <v>25</v>
      </c>
      <c r="P117" s="1" t="s">
        <v>1243</v>
      </c>
      <c r="Q117" s="1" t="s">
        <v>35</v>
      </c>
      <c r="R117" s="7">
        <v>117439.98</v>
      </c>
      <c r="S117" s="7">
        <v>8388.57</v>
      </c>
      <c r="T117" s="7">
        <v>3236.32</v>
      </c>
      <c r="U117" s="7">
        <v>2078.92</v>
      </c>
      <c r="V117" s="7">
        <v>3073.33</v>
      </c>
      <c r="W117" s="10">
        <v>288.35820000000001</v>
      </c>
      <c r="X117" s="10">
        <v>131.66409999999999</v>
      </c>
    </row>
    <row r="118" spans="1:24" x14ac:dyDescent="0.25">
      <c r="A118" t="s">
        <v>504</v>
      </c>
      <c r="B118" t="s">
        <v>505</v>
      </c>
      <c r="C118" s="1" t="s">
        <v>506</v>
      </c>
      <c r="D118" s="1" t="s">
        <v>1647</v>
      </c>
      <c r="E118" s="1" t="s">
        <v>507</v>
      </c>
      <c r="F118" s="1" t="s">
        <v>1696</v>
      </c>
      <c r="G118" s="1" t="s">
        <v>1585</v>
      </c>
      <c r="H118" s="1" t="s">
        <v>227</v>
      </c>
      <c r="I118" s="1" t="s">
        <v>22</v>
      </c>
      <c r="J118" s="1" t="s">
        <v>123</v>
      </c>
      <c r="K118" s="1" t="s">
        <v>149</v>
      </c>
      <c r="L118" s="1" t="s">
        <v>123</v>
      </c>
      <c r="M118" s="2">
        <v>45559</v>
      </c>
      <c r="N118" s="2" t="s">
        <v>25</v>
      </c>
      <c r="O118" s="1" t="s">
        <v>225</v>
      </c>
      <c r="P118" s="2" t="s">
        <v>25</v>
      </c>
      <c r="Q118" s="1" t="s">
        <v>26</v>
      </c>
      <c r="R118" s="7">
        <v>94946.32</v>
      </c>
      <c r="S118" s="7">
        <v>6781.88</v>
      </c>
      <c r="T118" s="7">
        <v>3366.99</v>
      </c>
      <c r="U118" s="7">
        <v>2162.85</v>
      </c>
      <c r="V118" s="7">
        <v>1252.04</v>
      </c>
      <c r="W118" s="10">
        <v>275.82089999999999</v>
      </c>
      <c r="X118" s="10">
        <v>104.79389999999999</v>
      </c>
    </row>
    <row r="119" spans="1:24" x14ac:dyDescent="0.25">
      <c r="A119" t="s">
        <v>200</v>
      </c>
      <c r="B119" t="s">
        <v>508</v>
      </c>
      <c r="C119" s="1" t="s">
        <v>509</v>
      </c>
      <c r="D119" s="1" t="s">
        <v>1646</v>
      </c>
      <c r="E119" s="1" t="s">
        <v>510</v>
      </c>
      <c r="F119" s="1" t="s">
        <v>1696</v>
      </c>
      <c r="G119" s="1" t="s">
        <v>1585</v>
      </c>
      <c r="H119" s="1" t="s">
        <v>204</v>
      </c>
      <c r="I119" s="1" t="s">
        <v>22</v>
      </c>
      <c r="J119" s="1" t="s">
        <v>23</v>
      </c>
      <c r="K119" s="1" t="s">
        <v>24</v>
      </c>
      <c r="L119" s="1" t="s">
        <v>23</v>
      </c>
      <c r="M119" s="2">
        <v>45155</v>
      </c>
      <c r="N119" s="2" t="s">
        <v>25</v>
      </c>
      <c r="O119" s="2" t="s">
        <v>25</v>
      </c>
      <c r="P119" s="2" t="s">
        <v>25</v>
      </c>
      <c r="Q119" s="1" t="s">
        <v>26</v>
      </c>
      <c r="R119" s="7">
        <v>101392.76</v>
      </c>
      <c r="S119" s="7">
        <v>7242.34</v>
      </c>
      <c r="T119" s="7">
        <v>3366.99</v>
      </c>
      <c r="U119" s="7">
        <v>2162.85</v>
      </c>
      <c r="V119" s="7">
        <v>1712.5</v>
      </c>
      <c r="W119" s="10">
        <v>375.22390000000001</v>
      </c>
      <c r="X119" s="10">
        <v>184.50890000000001</v>
      </c>
    </row>
    <row r="120" spans="1:24" x14ac:dyDescent="0.25">
      <c r="A120" t="s">
        <v>511</v>
      </c>
      <c r="B120" t="s">
        <v>512</v>
      </c>
      <c r="C120" s="1" t="s">
        <v>513</v>
      </c>
      <c r="D120" s="1" t="s">
        <v>1646</v>
      </c>
      <c r="E120" s="1" t="s">
        <v>514</v>
      </c>
      <c r="F120" s="1" t="s">
        <v>1696</v>
      </c>
      <c r="G120" s="1" t="s">
        <v>1585</v>
      </c>
      <c r="H120" s="1" t="s">
        <v>515</v>
      </c>
      <c r="I120" s="1" t="s">
        <v>22</v>
      </c>
      <c r="J120" s="1" t="s">
        <v>32</v>
      </c>
      <c r="K120" s="1" t="s">
        <v>33</v>
      </c>
      <c r="L120" s="1" t="s">
        <v>32</v>
      </c>
      <c r="M120" s="2">
        <v>45155</v>
      </c>
      <c r="N120" s="2" t="s">
        <v>25</v>
      </c>
      <c r="O120" s="2" t="s">
        <v>25</v>
      </c>
      <c r="P120" s="2" t="s">
        <v>25</v>
      </c>
      <c r="Q120" s="1" t="s">
        <v>26</v>
      </c>
      <c r="R120" s="7">
        <v>101392.76</v>
      </c>
      <c r="S120" s="7">
        <v>7242.34</v>
      </c>
      <c r="T120" s="7">
        <v>3366.99</v>
      </c>
      <c r="U120" s="7">
        <v>2162.85</v>
      </c>
      <c r="V120" s="7">
        <v>1712.5</v>
      </c>
      <c r="W120" s="10">
        <v>74.328400000000002</v>
      </c>
      <c r="X120" s="10">
        <v>270.49360000000001</v>
      </c>
    </row>
    <row r="121" spans="1:24" x14ac:dyDescent="0.25">
      <c r="A121" t="s">
        <v>467</v>
      </c>
      <c r="B121" t="s">
        <v>516</v>
      </c>
      <c r="C121" s="1" t="s">
        <v>517</v>
      </c>
      <c r="D121" s="1" t="s">
        <v>1647</v>
      </c>
      <c r="E121" s="1" t="s">
        <v>518</v>
      </c>
      <c r="F121" s="1" t="s">
        <v>1696</v>
      </c>
      <c r="G121" s="1" t="s">
        <v>1585</v>
      </c>
      <c r="H121" s="1" t="s">
        <v>428</v>
      </c>
      <c r="I121" s="1" t="s">
        <v>22</v>
      </c>
      <c r="J121" s="1" t="s">
        <v>32</v>
      </c>
      <c r="K121" s="1" t="s">
        <v>33</v>
      </c>
      <c r="L121" s="1" t="s">
        <v>32</v>
      </c>
      <c r="M121" s="2">
        <v>45155</v>
      </c>
      <c r="N121" s="2" t="s">
        <v>25</v>
      </c>
      <c r="O121" s="2" t="s">
        <v>25</v>
      </c>
      <c r="P121" s="2" t="s">
        <v>25</v>
      </c>
      <c r="Q121" s="1" t="s">
        <v>26</v>
      </c>
      <c r="R121" s="7">
        <v>94946.32</v>
      </c>
      <c r="S121" s="7">
        <v>6781.88</v>
      </c>
      <c r="T121" s="7">
        <v>3366.99</v>
      </c>
      <c r="U121" s="7">
        <v>2162.85</v>
      </c>
      <c r="V121" s="7">
        <v>1252.04</v>
      </c>
      <c r="W121" s="10">
        <v>75.2239</v>
      </c>
      <c r="X121" s="10">
        <v>206.0051</v>
      </c>
    </row>
    <row r="122" spans="1:24" x14ac:dyDescent="0.25">
      <c r="A122" t="s">
        <v>316</v>
      </c>
      <c r="B122" t="s">
        <v>519</v>
      </c>
      <c r="C122" s="1" t="s">
        <v>520</v>
      </c>
      <c r="D122" s="1" t="s">
        <v>1647</v>
      </c>
      <c r="E122" s="1" t="s">
        <v>521</v>
      </c>
      <c r="F122" s="1" t="s">
        <v>1696</v>
      </c>
      <c r="G122" s="1" t="s">
        <v>1585</v>
      </c>
      <c r="H122" s="1" t="s">
        <v>100</v>
      </c>
      <c r="I122" s="1" t="s">
        <v>22</v>
      </c>
      <c r="J122" s="1" t="s">
        <v>32</v>
      </c>
      <c r="K122" s="1" t="s">
        <v>33</v>
      </c>
      <c r="L122" s="1" t="s">
        <v>32</v>
      </c>
      <c r="M122" s="2">
        <v>45155</v>
      </c>
      <c r="N122" s="2" t="s">
        <v>25</v>
      </c>
      <c r="O122" s="2" t="s">
        <v>25</v>
      </c>
      <c r="P122" s="2" t="s">
        <v>25</v>
      </c>
      <c r="Q122" s="1" t="s">
        <v>26</v>
      </c>
      <c r="R122" s="7">
        <v>94946.32</v>
      </c>
      <c r="S122" s="7">
        <v>6781.88</v>
      </c>
      <c r="T122" s="7">
        <v>3366.99</v>
      </c>
      <c r="U122" s="7">
        <v>2162.85</v>
      </c>
      <c r="V122" s="7">
        <v>1252.04</v>
      </c>
      <c r="W122" s="10">
        <v>53.731299999999997</v>
      </c>
      <c r="X122" s="10">
        <v>186.30029999999999</v>
      </c>
    </row>
    <row r="123" spans="1:24" x14ac:dyDescent="0.25">
      <c r="A123" t="s">
        <v>522</v>
      </c>
      <c r="B123" t="s">
        <v>523</v>
      </c>
      <c r="C123" s="1" t="s">
        <v>524</v>
      </c>
      <c r="D123" s="1" t="s">
        <v>1647</v>
      </c>
      <c r="E123" s="1" t="s">
        <v>525</v>
      </c>
      <c r="F123" s="1" t="s">
        <v>1696</v>
      </c>
      <c r="G123" s="1" t="s">
        <v>1585</v>
      </c>
      <c r="H123" s="1" t="s">
        <v>184</v>
      </c>
      <c r="I123" s="1" t="s">
        <v>22</v>
      </c>
      <c r="J123" s="1" t="s">
        <v>23</v>
      </c>
      <c r="K123" s="1" t="s">
        <v>24</v>
      </c>
      <c r="L123" s="1" t="s">
        <v>23</v>
      </c>
      <c r="M123" s="2">
        <v>45155</v>
      </c>
      <c r="N123" s="2" t="s">
        <v>25</v>
      </c>
      <c r="O123" s="2" t="s">
        <v>25</v>
      </c>
      <c r="P123" s="2" t="s">
        <v>25</v>
      </c>
      <c r="Q123" s="1" t="s">
        <v>26</v>
      </c>
      <c r="R123" s="7">
        <v>101392.76</v>
      </c>
      <c r="S123" s="7">
        <v>7242.34</v>
      </c>
      <c r="T123" s="7">
        <v>3366.99</v>
      </c>
      <c r="U123" s="7">
        <v>2162.85</v>
      </c>
      <c r="V123" s="7">
        <v>1712.5</v>
      </c>
      <c r="W123" s="10">
        <v>405.67160000000001</v>
      </c>
      <c r="X123" s="10">
        <v>248.9975</v>
      </c>
    </row>
    <row r="124" spans="1:24" x14ac:dyDescent="0.25">
      <c r="A124" t="s">
        <v>337</v>
      </c>
      <c r="B124" t="s">
        <v>526</v>
      </c>
      <c r="C124" s="1" t="s">
        <v>527</v>
      </c>
      <c r="D124" s="1" t="s">
        <v>1646</v>
      </c>
      <c r="E124" s="1" t="s">
        <v>528</v>
      </c>
      <c r="F124" s="1" t="s">
        <v>1696</v>
      </c>
      <c r="G124" s="1" t="s">
        <v>1585</v>
      </c>
      <c r="H124" s="1" t="s">
        <v>95</v>
      </c>
      <c r="I124" s="1" t="s">
        <v>22</v>
      </c>
      <c r="J124" s="1" t="s">
        <v>41</v>
      </c>
      <c r="K124" s="1" t="s">
        <v>42</v>
      </c>
      <c r="L124" s="1" t="s">
        <v>41</v>
      </c>
      <c r="M124" s="2">
        <v>45155</v>
      </c>
      <c r="N124" s="2" t="s">
        <v>25</v>
      </c>
      <c r="O124" s="2" t="s">
        <v>25</v>
      </c>
      <c r="P124" s="2" t="s">
        <v>25</v>
      </c>
      <c r="Q124" s="1" t="s">
        <v>26</v>
      </c>
      <c r="R124" s="7">
        <v>94946.32</v>
      </c>
      <c r="S124" s="7">
        <v>6781.88</v>
      </c>
      <c r="T124" s="7">
        <v>3366.99</v>
      </c>
      <c r="U124" s="7">
        <v>2162.85</v>
      </c>
      <c r="V124" s="7">
        <v>1252.04</v>
      </c>
      <c r="W124" s="10">
        <v>171.04480000000001</v>
      </c>
      <c r="X124" s="10">
        <v>15.2265</v>
      </c>
    </row>
    <row r="125" spans="1:24" x14ac:dyDescent="0.25">
      <c r="A125" t="s">
        <v>529</v>
      </c>
      <c r="B125" t="s">
        <v>530</v>
      </c>
      <c r="C125" s="1" t="s">
        <v>531</v>
      </c>
      <c r="D125" s="1" t="s">
        <v>1647</v>
      </c>
      <c r="E125" s="1" t="s">
        <v>532</v>
      </c>
      <c r="F125" s="1" t="s">
        <v>1696</v>
      </c>
      <c r="G125" s="1" t="s">
        <v>1585</v>
      </c>
      <c r="H125" s="1" t="s">
        <v>194</v>
      </c>
      <c r="I125" s="1" t="s">
        <v>22</v>
      </c>
      <c r="J125" s="1" t="s">
        <v>23</v>
      </c>
      <c r="K125" s="1" t="s">
        <v>24</v>
      </c>
      <c r="L125" s="1" t="s">
        <v>23</v>
      </c>
      <c r="M125" s="2">
        <v>45155</v>
      </c>
      <c r="N125" s="2">
        <v>45849</v>
      </c>
      <c r="O125" s="2" t="s">
        <v>25</v>
      </c>
      <c r="P125" s="1" t="s">
        <v>1469</v>
      </c>
      <c r="Q125" s="1" t="s">
        <v>35</v>
      </c>
      <c r="R125" s="7">
        <v>71897</v>
      </c>
      <c r="S125" s="7">
        <v>5135.5</v>
      </c>
      <c r="T125" s="7">
        <v>3142.14</v>
      </c>
      <c r="U125" s="7">
        <v>2018.41</v>
      </c>
      <c r="V125" s="7">
        <v>0</v>
      </c>
      <c r="W125" s="10">
        <v>474.62689999999998</v>
      </c>
      <c r="X125" s="10">
        <v>237.3537</v>
      </c>
    </row>
    <row r="126" spans="1:24" x14ac:dyDescent="0.25">
      <c r="A126" t="s">
        <v>533</v>
      </c>
      <c r="B126" t="s">
        <v>534</v>
      </c>
      <c r="C126" s="1" t="s">
        <v>535</v>
      </c>
      <c r="D126" s="1" t="s">
        <v>1647</v>
      </c>
      <c r="E126" s="1" t="s">
        <v>536</v>
      </c>
      <c r="F126" s="1" t="s">
        <v>1696</v>
      </c>
      <c r="G126" s="1" t="s">
        <v>1585</v>
      </c>
      <c r="H126" s="1" t="s">
        <v>56</v>
      </c>
      <c r="I126" s="1" t="s">
        <v>22</v>
      </c>
      <c r="J126" s="1" t="s">
        <v>32</v>
      </c>
      <c r="K126" s="1" t="s">
        <v>33</v>
      </c>
      <c r="L126" s="1" t="s">
        <v>32</v>
      </c>
      <c r="M126" s="2">
        <v>45385</v>
      </c>
      <c r="N126" s="2">
        <v>45695</v>
      </c>
      <c r="O126" s="1" t="s">
        <v>1234</v>
      </c>
      <c r="P126" s="1" t="s">
        <v>642</v>
      </c>
      <c r="Q126" s="1" t="s">
        <v>35</v>
      </c>
      <c r="R126" s="7">
        <v>94946.32</v>
      </c>
      <c r="S126" s="7">
        <v>6781.88</v>
      </c>
      <c r="T126" s="7">
        <v>3366.99</v>
      </c>
      <c r="U126" s="7">
        <v>2162.85</v>
      </c>
      <c r="V126" s="7">
        <v>1252.04</v>
      </c>
      <c r="W126" s="10">
        <v>10.7463</v>
      </c>
      <c r="X126" s="10">
        <v>162.11699999999999</v>
      </c>
    </row>
    <row r="127" spans="1:24" x14ac:dyDescent="0.25">
      <c r="A127" t="s">
        <v>290</v>
      </c>
      <c r="B127" t="s">
        <v>537</v>
      </c>
      <c r="C127" s="1" t="s">
        <v>538</v>
      </c>
      <c r="D127" s="1" t="s">
        <v>1646</v>
      </c>
      <c r="E127" s="1" t="s">
        <v>539</v>
      </c>
      <c r="F127" s="1" t="s">
        <v>1696</v>
      </c>
      <c r="G127" s="1" t="s">
        <v>1585</v>
      </c>
      <c r="H127" s="1" t="s">
        <v>428</v>
      </c>
      <c r="I127" s="1" t="s">
        <v>22</v>
      </c>
      <c r="J127" s="1" t="s">
        <v>41</v>
      </c>
      <c r="K127" s="1" t="s">
        <v>42</v>
      </c>
      <c r="L127" s="1" t="s">
        <v>41</v>
      </c>
      <c r="M127" s="2">
        <v>45155</v>
      </c>
      <c r="N127" s="2" t="s">
        <v>25</v>
      </c>
      <c r="O127" s="2" t="s">
        <v>25</v>
      </c>
      <c r="P127" s="2" t="s">
        <v>25</v>
      </c>
      <c r="Q127" s="1" t="s">
        <v>26</v>
      </c>
      <c r="R127" s="7">
        <v>94946.32</v>
      </c>
      <c r="S127" s="7">
        <v>6781.88</v>
      </c>
      <c r="T127" s="7">
        <v>3366.99</v>
      </c>
      <c r="U127" s="7">
        <v>2162.85</v>
      </c>
      <c r="V127" s="7">
        <v>1252.04</v>
      </c>
      <c r="W127" s="10">
        <v>205.9701</v>
      </c>
      <c r="X127" s="10">
        <v>27.765899999999998</v>
      </c>
    </row>
    <row r="128" spans="1:24" x14ac:dyDescent="0.25">
      <c r="A128" t="s">
        <v>540</v>
      </c>
      <c r="B128" t="s">
        <v>541</v>
      </c>
      <c r="C128" s="1" t="s">
        <v>542</v>
      </c>
      <c r="D128" s="1" t="s">
        <v>1646</v>
      </c>
      <c r="E128" s="1" t="s">
        <v>543</v>
      </c>
      <c r="F128" s="1" t="s">
        <v>1696</v>
      </c>
      <c r="G128" s="1" t="s">
        <v>1585</v>
      </c>
      <c r="H128" s="1" t="s">
        <v>184</v>
      </c>
      <c r="I128" s="1" t="s">
        <v>22</v>
      </c>
      <c r="J128" s="1" t="s">
        <v>41</v>
      </c>
      <c r="K128" s="1" t="s">
        <v>42</v>
      </c>
      <c r="L128" s="1" t="s">
        <v>41</v>
      </c>
      <c r="M128" s="2">
        <v>45155</v>
      </c>
      <c r="N128" s="2" t="s">
        <v>25</v>
      </c>
      <c r="O128" s="2" t="s">
        <v>25</v>
      </c>
      <c r="P128" s="2" t="s">
        <v>25</v>
      </c>
      <c r="Q128" s="1" t="s">
        <v>26</v>
      </c>
      <c r="R128" s="7">
        <v>129905.02</v>
      </c>
      <c r="S128" s="7">
        <v>9278.93</v>
      </c>
      <c r="T128" s="7">
        <v>3366.99</v>
      </c>
      <c r="U128" s="7">
        <v>2162.85</v>
      </c>
      <c r="V128" s="7">
        <v>3749.09</v>
      </c>
      <c r="W128" s="10">
        <v>329.55220000000003</v>
      </c>
      <c r="X128" s="10">
        <v>189.88300000000001</v>
      </c>
    </row>
    <row r="129" spans="1:24" x14ac:dyDescent="0.25">
      <c r="A129" t="s">
        <v>167</v>
      </c>
      <c r="B129" t="s">
        <v>544</v>
      </c>
      <c r="C129" s="1" t="s">
        <v>545</v>
      </c>
      <c r="D129" s="1" t="s">
        <v>1646</v>
      </c>
      <c r="E129" s="1" t="s">
        <v>546</v>
      </c>
      <c r="F129" s="1" t="s">
        <v>1696</v>
      </c>
      <c r="G129" s="1" t="s">
        <v>1585</v>
      </c>
      <c r="H129" s="1" t="s">
        <v>31</v>
      </c>
      <c r="I129" s="1" t="s">
        <v>22</v>
      </c>
      <c r="J129" s="1" t="s">
        <v>41</v>
      </c>
      <c r="K129" s="1" t="s">
        <v>42</v>
      </c>
      <c r="L129" s="1" t="s">
        <v>41</v>
      </c>
      <c r="M129" s="2">
        <v>45155</v>
      </c>
      <c r="N129" s="2" t="s">
        <v>25</v>
      </c>
      <c r="O129" s="2" t="s">
        <v>25</v>
      </c>
      <c r="P129" s="2" t="s">
        <v>25</v>
      </c>
      <c r="Q129" s="1" t="s">
        <v>26</v>
      </c>
      <c r="R129" s="7">
        <v>94946.32</v>
      </c>
      <c r="S129" s="7">
        <v>6781.88</v>
      </c>
      <c r="T129" s="7">
        <v>3366.99</v>
      </c>
      <c r="U129" s="7">
        <v>2162.85</v>
      </c>
      <c r="V129" s="7">
        <v>1252.04</v>
      </c>
      <c r="W129" s="10">
        <v>181.791</v>
      </c>
      <c r="X129" s="10">
        <v>33.139899999999997</v>
      </c>
    </row>
    <row r="130" spans="1:24" x14ac:dyDescent="0.25">
      <c r="A130" t="s">
        <v>547</v>
      </c>
      <c r="B130" t="s">
        <v>548</v>
      </c>
      <c r="C130" s="1" t="s">
        <v>549</v>
      </c>
      <c r="D130" s="1" t="s">
        <v>1646</v>
      </c>
      <c r="E130" s="1" t="s">
        <v>550</v>
      </c>
      <c r="F130" s="1" t="s">
        <v>1696</v>
      </c>
      <c r="G130" s="1" t="s">
        <v>1585</v>
      </c>
      <c r="H130" s="1" t="s">
        <v>117</v>
      </c>
      <c r="I130" s="1" t="s">
        <v>22</v>
      </c>
      <c r="J130" s="1" t="s">
        <v>23</v>
      </c>
      <c r="K130" s="1" t="s">
        <v>24</v>
      </c>
      <c r="L130" s="1" t="s">
        <v>23</v>
      </c>
      <c r="M130" s="2">
        <v>45155</v>
      </c>
      <c r="N130" s="2" t="s">
        <v>25</v>
      </c>
      <c r="O130" s="2" t="s">
        <v>25</v>
      </c>
      <c r="P130" s="2" t="s">
        <v>25</v>
      </c>
      <c r="Q130" s="1" t="s">
        <v>26</v>
      </c>
      <c r="R130" s="7">
        <v>94946.32</v>
      </c>
      <c r="S130" s="7">
        <v>6781.88</v>
      </c>
      <c r="T130" s="7">
        <v>3366.99</v>
      </c>
      <c r="U130" s="7">
        <v>2162.85</v>
      </c>
      <c r="V130" s="7">
        <v>1252.04</v>
      </c>
      <c r="W130" s="10">
        <v>403.88060000000002</v>
      </c>
      <c r="X130" s="10">
        <v>128.97710000000001</v>
      </c>
    </row>
    <row r="131" spans="1:24" x14ac:dyDescent="0.25">
      <c r="A131" t="s">
        <v>551</v>
      </c>
      <c r="B131" t="s">
        <v>552</v>
      </c>
      <c r="C131" s="1" t="s">
        <v>553</v>
      </c>
      <c r="D131" s="1" t="s">
        <v>1646</v>
      </c>
      <c r="E131" s="1" t="s">
        <v>554</v>
      </c>
      <c r="F131" s="1" t="s">
        <v>1696</v>
      </c>
      <c r="G131" s="1" t="s">
        <v>1585</v>
      </c>
      <c r="H131" s="1" t="s">
        <v>130</v>
      </c>
      <c r="I131" s="1" t="s">
        <v>22</v>
      </c>
      <c r="J131" s="1" t="s">
        <v>23</v>
      </c>
      <c r="K131" s="1" t="s">
        <v>24</v>
      </c>
      <c r="L131" s="1" t="s">
        <v>23</v>
      </c>
      <c r="M131" s="2">
        <v>45155</v>
      </c>
      <c r="N131" s="2" t="s">
        <v>25</v>
      </c>
      <c r="O131" s="2" t="s">
        <v>25</v>
      </c>
      <c r="P131" s="2" t="s">
        <v>25</v>
      </c>
      <c r="Q131" s="1" t="s">
        <v>26</v>
      </c>
      <c r="R131" s="7">
        <v>94946.32</v>
      </c>
      <c r="S131" s="7">
        <v>6781.88</v>
      </c>
      <c r="T131" s="7">
        <v>3366.99</v>
      </c>
      <c r="U131" s="7">
        <v>2162.85</v>
      </c>
      <c r="V131" s="7">
        <v>1252.04</v>
      </c>
      <c r="W131" s="10">
        <v>452.23880000000003</v>
      </c>
      <c r="X131" s="10">
        <v>203.31809999999999</v>
      </c>
    </row>
    <row r="132" spans="1:24" x14ac:dyDescent="0.25">
      <c r="A132" t="s">
        <v>555</v>
      </c>
      <c r="B132" t="s">
        <v>556</v>
      </c>
      <c r="C132" s="1" t="s">
        <v>557</v>
      </c>
      <c r="D132" s="1" t="s">
        <v>1647</v>
      </c>
      <c r="E132" s="1" t="s">
        <v>558</v>
      </c>
      <c r="F132" s="1" t="s">
        <v>1696</v>
      </c>
      <c r="G132" s="1" t="s">
        <v>1585</v>
      </c>
      <c r="H132" s="1" t="s">
        <v>100</v>
      </c>
      <c r="I132" s="1" t="s">
        <v>22</v>
      </c>
      <c r="J132" s="1" t="s">
        <v>23</v>
      </c>
      <c r="K132" s="1" t="s">
        <v>24</v>
      </c>
      <c r="L132" s="1" t="s">
        <v>23</v>
      </c>
      <c r="M132" s="2">
        <v>45155</v>
      </c>
      <c r="N132" s="2" t="s">
        <v>25</v>
      </c>
      <c r="O132" s="2" t="s">
        <v>25</v>
      </c>
      <c r="P132" s="2" t="s">
        <v>25</v>
      </c>
      <c r="Q132" s="1" t="s">
        <v>26</v>
      </c>
      <c r="R132" s="7">
        <v>94946.32</v>
      </c>
      <c r="S132" s="7">
        <v>6781.88</v>
      </c>
      <c r="T132" s="7">
        <v>3366.99</v>
      </c>
      <c r="U132" s="7">
        <v>2162.85</v>
      </c>
      <c r="V132" s="7">
        <v>1252.04</v>
      </c>
      <c r="W132" s="10">
        <v>452.23880000000003</v>
      </c>
      <c r="X132" s="10">
        <v>291.09410000000003</v>
      </c>
    </row>
    <row r="133" spans="1:24" x14ac:dyDescent="0.25">
      <c r="A133" t="s">
        <v>559</v>
      </c>
      <c r="B133" t="s">
        <v>560</v>
      </c>
      <c r="C133" s="1" t="s">
        <v>561</v>
      </c>
      <c r="D133" s="1" t="s">
        <v>1647</v>
      </c>
      <c r="E133" s="1" t="s">
        <v>562</v>
      </c>
      <c r="F133" s="1" t="s">
        <v>1696</v>
      </c>
      <c r="G133" s="1" t="s">
        <v>1585</v>
      </c>
      <c r="H133" s="1" t="s">
        <v>139</v>
      </c>
      <c r="I133" s="1" t="s">
        <v>22</v>
      </c>
      <c r="J133" s="1" t="s">
        <v>80</v>
      </c>
      <c r="K133" s="1" t="s">
        <v>81</v>
      </c>
      <c r="L133" s="1" t="s">
        <v>80</v>
      </c>
      <c r="M133" s="2">
        <v>45155</v>
      </c>
      <c r="N133" s="2" t="s">
        <v>25</v>
      </c>
      <c r="O133" s="2" t="s">
        <v>25</v>
      </c>
      <c r="P133" s="2" t="s">
        <v>25</v>
      </c>
      <c r="Q133" s="1" t="s">
        <v>26</v>
      </c>
      <c r="R133" s="7">
        <v>94946.32</v>
      </c>
      <c r="S133" s="7">
        <v>6781.88</v>
      </c>
      <c r="T133" s="7">
        <v>3366.99</v>
      </c>
      <c r="U133" s="7">
        <v>2162.85</v>
      </c>
      <c r="V133" s="7">
        <v>1252.04</v>
      </c>
      <c r="W133" s="10">
        <v>159.40299999999999</v>
      </c>
      <c r="X133" s="10">
        <v>66.279899999999998</v>
      </c>
    </row>
    <row r="134" spans="1:24" x14ac:dyDescent="0.25">
      <c r="A134" t="s">
        <v>154</v>
      </c>
      <c r="B134" t="s">
        <v>563</v>
      </c>
      <c r="C134" s="1" t="s">
        <v>564</v>
      </c>
      <c r="D134" s="1" t="s">
        <v>1647</v>
      </c>
      <c r="E134" s="1" t="s">
        <v>565</v>
      </c>
      <c r="F134" s="1" t="s">
        <v>1696</v>
      </c>
      <c r="G134" s="1" t="s">
        <v>1585</v>
      </c>
      <c r="H134" s="1" t="s">
        <v>250</v>
      </c>
      <c r="I134" s="1" t="s">
        <v>22</v>
      </c>
      <c r="J134" s="1" t="s">
        <v>23</v>
      </c>
      <c r="K134" s="1" t="s">
        <v>24</v>
      </c>
      <c r="L134" s="1" t="s">
        <v>23</v>
      </c>
      <c r="M134" s="2">
        <v>45155</v>
      </c>
      <c r="N134" s="2" t="s">
        <v>25</v>
      </c>
      <c r="O134" s="2" t="s">
        <v>25</v>
      </c>
      <c r="P134" s="2" t="s">
        <v>25</v>
      </c>
      <c r="Q134" s="1" t="s">
        <v>26</v>
      </c>
      <c r="R134" s="7">
        <v>94946.32</v>
      </c>
      <c r="S134" s="7">
        <v>6781.88</v>
      </c>
      <c r="T134" s="7">
        <v>3366.99</v>
      </c>
      <c r="U134" s="7">
        <v>2162.85</v>
      </c>
      <c r="V134" s="7">
        <v>1252.04</v>
      </c>
      <c r="W134" s="10">
        <v>358.209</v>
      </c>
      <c r="X134" s="10">
        <v>248.9975</v>
      </c>
    </row>
    <row r="135" spans="1:24" x14ac:dyDescent="0.25">
      <c r="A135" t="s">
        <v>566</v>
      </c>
      <c r="B135" t="s">
        <v>567</v>
      </c>
      <c r="C135" s="1" t="s">
        <v>568</v>
      </c>
      <c r="D135" s="1" t="s">
        <v>1646</v>
      </c>
      <c r="E135" s="1" t="s">
        <v>569</v>
      </c>
      <c r="F135" s="1" t="s">
        <v>1696</v>
      </c>
      <c r="G135" s="1" t="s">
        <v>1585</v>
      </c>
      <c r="H135" s="1" t="s">
        <v>189</v>
      </c>
      <c r="I135" s="1" t="s">
        <v>22</v>
      </c>
      <c r="J135" s="1" t="s">
        <v>23</v>
      </c>
      <c r="K135" s="1" t="s">
        <v>24</v>
      </c>
      <c r="L135" s="1" t="s">
        <v>23</v>
      </c>
      <c r="M135" s="2">
        <v>45155</v>
      </c>
      <c r="N135" s="2" t="s">
        <v>25</v>
      </c>
      <c r="O135" s="2" t="s">
        <v>25</v>
      </c>
      <c r="P135" s="2" t="s">
        <v>25</v>
      </c>
      <c r="Q135" s="1" t="s">
        <v>26</v>
      </c>
      <c r="R135" s="7">
        <v>94946.32</v>
      </c>
      <c r="S135" s="7">
        <v>6781.88</v>
      </c>
      <c r="T135" s="7">
        <v>3366.99</v>
      </c>
      <c r="U135" s="7">
        <v>2162.85</v>
      </c>
      <c r="V135" s="7">
        <v>1252.04</v>
      </c>
      <c r="W135" s="10">
        <v>454.0299</v>
      </c>
      <c r="X135" s="10">
        <v>226.60560000000001</v>
      </c>
    </row>
    <row r="136" spans="1:24" x14ac:dyDescent="0.25">
      <c r="A136" t="s">
        <v>570</v>
      </c>
      <c r="B136" t="s">
        <v>571</v>
      </c>
      <c r="C136" s="1" t="s">
        <v>572</v>
      </c>
      <c r="D136" s="1" t="s">
        <v>1647</v>
      </c>
      <c r="E136" s="1" t="s">
        <v>573</v>
      </c>
      <c r="F136" s="1" t="s">
        <v>1696</v>
      </c>
      <c r="G136" s="1" t="s">
        <v>1585</v>
      </c>
      <c r="H136" s="1" t="s">
        <v>487</v>
      </c>
      <c r="I136" s="1" t="s">
        <v>22</v>
      </c>
      <c r="J136" s="1" t="s">
        <v>23</v>
      </c>
      <c r="K136" s="1" t="s">
        <v>24</v>
      </c>
      <c r="L136" s="1" t="s">
        <v>23</v>
      </c>
      <c r="M136" s="2">
        <v>45155</v>
      </c>
      <c r="N136" s="2" t="s">
        <v>25</v>
      </c>
      <c r="O136" s="2" t="s">
        <v>25</v>
      </c>
      <c r="P136" s="2" t="s">
        <v>25</v>
      </c>
      <c r="Q136" s="1" t="s">
        <v>26</v>
      </c>
      <c r="R136" s="7">
        <v>94946.32</v>
      </c>
      <c r="S136" s="7">
        <v>6781.88</v>
      </c>
      <c r="T136" s="7">
        <v>3366.99</v>
      </c>
      <c r="U136" s="7">
        <v>2162.85</v>
      </c>
      <c r="V136" s="7">
        <v>1252.04</v>
      </c>
      <c r="W136" s="10">
        <v>358.209</v>
      </c>
      <c r="X136" s="10">
        <v>271.38929999999999</v>
      </c>
    </row>
    <row r="137" spans="1:24" x14ac:dyDescent="0.25">
      <c r="A137" t="s">
        <v>167</v>
      </c>
      <c r="B137" t="s">
        <v>574</v>
      </c>
      <c r="C137" s="1" t="s">
        <v>575</v>
      </c>
      <c r="D137" s="1" t="s">
        <v>1646</v>
      </c>
      <c r="E137" s="1" t="s">
        <v>576</v>
      </c>
      <c r="F137" s="1" t="s">
        <v>1696</v>
      </c>
      <c r="G137" s="1" t="s">
        <v>1585</v>
      </c>
      <c r="H137" s="1" t="s">
        <v>244</v>
      </c>
      <c r="I137" s="1" t="s">
        <v>22</v>
      </c>
      <c r="J137" s="1" t="s">
        <v>23</v>
      </c>
      <c r="K137" s="1" t="s">
        <v>24</v>
      </c>
      <c r="L137" s="1" t="s">
        <v>23</v>
      </c>
      <c r="M137" s="2">
        <v>45155</v>
      </c>
      <c r="N137" s="2" t="s">
        <v>25</v>
      </c>
      <c r="O137" s="2" t="s">
        <v>25</v>
      </c>
      <c r="P137" s="2" t="s">
        <v>25</v>
      </c>
      <c r="Q137" s="1" t="s">
        <v>26</v>
      </c>
      <c r="R137" s="7">
        <v>79119.740000000005</v>
      </c>
      <c r="S137" s="7">
        <v>5651.41</v>
      </c>
      <c r="T137" s="7">
        <v>3366.99</v>
      </c>
      <c r="U137" s="7">
        <v>1032.3800000000001</v>
      </c>
      <c r="V137" s="7">
        <v>1252.04</v>
      </c>
      <c r="W137" s="10">
        <v>428.05970000000002</v>
      </c>
      <c r="X137" s="10">
        <v>324.23410000000001</v>
      </c>
    </row>
    <row r="138" spans="1:24" x14ac:dyDescent="0.25">
      <c r="A138" t="s">
        <v>577</v>
      </c>
      <c r="B138" t="s">
        <v>578</v>
      </c>
      <c r="C138" s="1" t="s">
        <v>579</v>
      </c>
      <c r="D138" s="1" t="s">
        <v>1647</v>
      </c>
      <c r="E138" s="1" t="s">
        <v>580</v>
      </c>
      <c r="F138" s="1" t="s">
        <v>1696</v>
      </c>
      <c r="G138" s="1" t="s">
        <v>1585</v>
      </c>
      <c r="H138" s="1" t="s">
        <v>117</v>
      </c>
      <c r="I138" s="1" t="s">
        <v>22</v>
      </c>
      <c r="J138" s="1" t="s">
        <v>32</v>
      </c>
      <c r="K138" s="1" t="s">
        <v>33</v>
      </c>
      <c r="L138" s="1" t="s">
        <v>32</v>
      </c>
      <c r="M138" s="2">
        <v>45155</v>
      </c>
      <c r="N138" s="2">
        <v>45273</v>
      </c>
      <c r="O138" s="2" t="s">
        <v>25</v>
      </c>
      <c r="P138" s="1" t="s">
        <v>115</v>
      </c>
      <c r="Q138" s="1" t="s">
        <v>35</v>
      </c>
      <c r="R138" s="7">
        <v>71897</v>
      </c>
      <c r="S138" s="7">
        <v>5135.5</v>
      </c>
      <c r="T138" s="7">
        <v>3366.99</v>
      </c>
      <c r="U138" s="7">
        <v>2018.41</v>
      </c>
      <c r="V138" s="7">
        <v>0</v>
      </c>
      <c r="W138" s="10">
        <v>52.835799999999999</v>
      </c>
      <c r="X138" s="10">
        <v>344.83460000000002</v>
      </c>
    </row>
    <row r="139" spans="1:24" x14ac:dyDescent="0.25">
      <c r="A139" t="s">
        <v>581</v>
      </c>
      <c r="B139" t="s">
        <v>582</v>
      </c>
      <c r="C139" s="1" t="s">
        <v>583</v>
      </c>
      <c r="D139" s="1" t="s">
        <v>1647</v>
      </c>
      <c r="E139" s="1" t="s">
        <v>584</v>
      </c>
      <c r="F139" s="1" t="s">
        <v>1696</v>
      </c>
      <c r="G139" s="1" t="s">
        <v>1585</v>
      </c>
      <c r="H139" s="1" t="s">
        <v>585</v>
      </c>
      <c r="I139" s="1" t="s">
        <v>22</v>
      </c>
      <c r="J139" s="1" t="s">
        <v>32</v>
      </c>
      <c r="K139" s="1" t="s">
        <v>33</v>
      </c>
      <c r="L139" s="1" t="s">
        <v>32</v>
      </c>
      <c r="M139" s="2">
        <v>45391</v>
      </c>
      <c r="N139" s="2" t="s">
        <v>25</v>
      </c>
      <c r="O139" s="1" t="s">
        <v>985</v>
      </c>
      <c r="P139" s="2" t="s">
        <v>25</v>
      </c>
      <c r="Q139" s="1" t="s">
        <v>26</v>
      </c>
      <c r="R139" s="7">
        <v>94946.32</v>
      </c>
      <c r="S139" s="7">
        <v>6781.88</v>
      </c>
      <c r="T139" s="7">
        <v>3366.99</v>
      </c>
      <c r="U139" s="7">
        <v>2162.85</v>
      </c>
      <c r="V139" s="7">
        <v>1252.04</v>
      </c>
      <c r="W139" s="10">
        <v>33.134300000000003</v>
      </c>
      <c r="X139" s="10">
        <v>171.96950000000001</v>
      </c>
    </row>
    <row r="140" spans="1:24" x14ac:dyDescent="0.25">
      <c r="A140" t="s">
        <v>195</v>
      </c>
      <c r="B140" t="s">
        <v>586</v>
      </c>
      <c r="C140" s="1" t="s">
        <v>587</v>
      </c>
      <c r="D140" s="1" t="s">
        <v>1646</v>
      </c>
      <c r="E140" s="1" t="s">
        <v>588</v>
      </c>
      <c r="F140" s="1" t="s">
        <v>1696</v>
      </c>
      <c r="G140" s="1" t="s">
        <v>1585</v>
      </c>
      <c r="H140" s="1" t="s">
        <v>428</v>
      </c>
      <c r="I140" s="1" t="s">
        <v>22</v>
      </c>
      <c r="J140" s="1" t="s">
        <v>23</v>
      </c>
      <c r="K140" s="1" t="s">
        <v>24</v>
      </c>
      <c r="L140" s="1" t="s">
        <v>23</v>
      </c>
      <c r="M140" s="2">
        <v>45155</v>
      </c>
      <c r="N140" s="2" t="s">
        <v>25</v>
      </c>
      <c r="O140" s="2" t="s">
        <v>25</v>
      </c>
      <c r="P140" s="2" t="s">
        <v>25</v>
      </c>
      <c r="Q140" s="1" t="s">
        <v>26</v>
      </c>
      <c r="R140" s="7">
        <v>89103.7</v>
      </c>
      <c r="S140" s="7">
        <v>6364.55</v>
      </c>
      <c r="T140" s="7">
        <v>3366.99</v>
      </c>
      <c r="U140" s="7">
        <v>2162.85</v>
      </c>
      <c r="V140" s="7">
        <v>834.71</v>
      </c>
      <c r="W140" s="10">
        <v>473.73129999999998</v>
      </c>
      <c r="X140" s="10">
        <v>214.96180000000001</v>
      </c>
    </row>
    <row r="141" spans="1:24" x14ac:dyDescent="0.25">
      <c r="C141" s="1" t="s">
        <v>1682</v>
      </c>
      <c r="D141" s="1" t="s">
        <v>1647</v>
      </c>
      <c r="E141" s="1" t="s">
        <v>1627</v>
      </c>
      <c r="F141" s="1" t="s">
        <v>1698</v>
      </c>
      <c r="G141" s="1" t="s">
        <v>1648</v>
      </c>
      <c r="H141" s="1" t="s">
        <v>1692</v>
      </c>
      <c r="I141" s="1" t="s">
        <v>22</v>
      </c>
      <c r="J141" s="1" t="s">
        <v>125</v>
      </c>
      <c r="K141" s="1" t="s">
        <v>1661</v>
      </c>
      <c r="L141" s="1" t="s">
        <v>1693</v>
      </c>
      <c r="M141" s="2">
        <v>45155</v>
      </c>
      <c r="N141" s="2" t="s">
        <v>25</v>
      </c>
      <c r="O141" s="2" t="s">
        <v>25</v>
      </c>
      <c r="P141" s="2" t="s">
        <v>25</v>
      </c>
      <c r="Q141" s="1" t="s">
        <v>26</v>
      </c>
      <c r="R141" s="7">
        <v>90527.31</v>
      </c>
      <c r="S141" s="7">
        <v>7543.94</v>
      </c>
      <c r="T141" s="7">
        <v>7543.94</v>
      </c>
      <c r="U141" s="7">
        <v>0</v>
      </c>
      <c r="V141" s="7">
        <v>0</v>
      </c>
      <c r="W141" s="10">
        <v>308.95519999999999</v>
      </c>
      <c r="X141" s="10">
        <v>204.21369999999999</v>
      </c>
    </row>
    <row r="142" spans="1:24" x14ac:dyDescent="0.25">
      <c r="A142" t="s">
        <v>589</v>
      </c>
      <c r="B142" t="s">
        <v>590</v>
      </c>
      <c r="C142" s="1" t="s">
        <v>591</v>
      </c>
      <c r="D142" s="1" t="s">
        <v>1647</v>
      </c>
      <c r="E142" s="1" t="s">
        <v>592</v>
      </c>
      <c r="F142" s="1" t="s">
        <v>1696</v>
      </c>
      <c r="G142" s="1" t="s">
        <v>1585</v>
      </c>
      <c r="H142" s="1" t="s">
        <v>213</v>
      </c>
      <c r="I142" s="1" t="s">
        <v>22</v>
      </c>
      <c r="J142" s="1" t="s">
        <v>41</v>
      </c>
      <c r="K142" s="1" t="s">
        <v>42</v>
      </c>
      <c r="L142" s="1" t="s">
        <v>41</v>
      </c>
      <c r="M142" s="2">
        <v>45155</v>
      </c>
      <c r="N142" s="2" t="s">
        <v>25</v>
      </c>
      <c r="O142" s="2" t="s">
        <v>25</v>
      </c>
      <c r="P142" s="2" t="s">
        <v>25</v>
      </c>
      <c r="Q142" s="1" t="s">
        <v>26</v>
      </c>
      <c r="R142" s="7">
        <v>94946.32</v>
      </c>
      <c r="S142" s="7">
        <v>6781.88</v>
      </c>
      <c r="T142" s="7">
        <v>3366.99</v>
      </c>
      <c r="U142" s="7">
        <v>2162.85</v>
      </c>
      <c r="V142" s="7">
        <v>1252.04</v>
      </c>
      <c r="W142" s="10">
        <v>182.6866</v>
      </c>
      <c r="X142" s="10">
        <v>11.643800000000001</v>
      </c>
    </row>
    <row r="143" spans="1:24" x14ac:dyDescent="0.25">
      <c r="A143" t="s">
        <v>467</v>
      </c>
      <c r="B143" t="s">
        <v>593</v>
      </c>
      <c r="C143" s="1" t="s">
        <v>594</v>
      </c>
      <c r="D143" s="1" t="s">
        <v>1647</v>
      </c>
      <c r="E143" s="1" t="s">
        <v>595</v>
      </c>
      <c r="F143" s="1" t="s">
        <v>1696</v>
      </c>
      <c r="G143" s="1" t="s">
        <v>1585</v>
      </c>
      <c r="H143" s="1" t="s">
        <v>61</v>
      </c>
      <c r="I143" s="1" t="s">
        <v>22</v>
      </c>
      <c r="J143" s="1" t="s">
        <v>32</v>
      </c>
      <c r="K143" s="1" t="s">
        <v>33</v>
      </c>
      <c r="L143" s="1" t="s">
        <v>32</v>
      </c>
      <c r="M143" s="2">
        <v>45155</v>
      </c>
      <c r="N143" s="2" t="s">
        <v>25</v>
      </c>
      <c r="O143" s="2" t="s">
        <v>25</v>
      </c>
      <c r="P143" s="2" t="s">
        <v>25</v>
      </c>
      <c r="Q143" s="1" t="s">
        <v>26</v>
      </c>
      <c r="R143" s="7">
        <v>94946.32</v>
      </c>
      <c r="S143" s="7">
        <v>6781.88</v>
      </c>
      <c r="T143" s="7">
        <v>3366.99</v>
      </c>
      <c r="U143" s="7">
        <v>2162.85</v>
      </c>
      <c r="V143" s="7">
        <v>1252.04</v>
      </c>
      <c r="W143" s="10">
        <v>40.298499999999997</v>
      </c>
      <c r="X143" s="10">
        <v>147.78630000000001</v>
      </c>
    </row>
    <row r="144" spans="1:24" x14ac:dyDescent="0.25">
      <c r="A144" t="s">
        <v>596</v>
      </c>
      <c r="B144" t="s">
        <v>597</v>
      </c>
      <c r="C144" s="1" t="s">
        <v>598</v>
      </c>
      <c r="D144" s="1" t="s">
        <v>1647</v>
      </c>
      <c r="E144" s="1" t="s">
        <v>599</v>
      </c>
      <c r="F144" s="1" t="s">
        <v>1696</v>
      </c>
      <c r="G144" s="1" t="s">
        <v>1585</v>
      </c>
      <c r="H144" s="1" t="s">
        <v>353</v>
      </c>
      <c r="I144" s="1" t="s">
        <v>22</v>
      </c>
      <c r="J144" s="1" t="s">
        <v>32</v>
      </c>
      <c r="K144" s="1" t="s">
        <v>33</v>
      </c>
      <c r="L144" s="1" t="s">
        <v>32</v>
      </c>
      <c r="M144" s="2">
        <v>45155</v>
      </c>
      <c r="N144" s="2" t="s">
        <v>25</v>
      </c>
      <c r="O144" s="2" t="s">
        <v>25</v>
      </c>
      <c r="P144" s="2" t="s">
        <v>25</v>
      </c>
      <c r="Q144" s="1" t="s">
        <v>26</v>
      </c>
      <c r="R144" s="7">
        <v>112376.46</v>
      </c>
      <c r="S144" s="7">
        <v>8026.89</v>
      </c>
      <c r="T144" s="7">
        <v>3366.99</v>
      </c>
      <c r="U144" s="7">
        <v>2162.85</v>
      </c>
      <c r="V144" s="7">
        <v>2497.0500000000002</v>
      </c>
      <c r="W144" s="10">
        <v>145.0746</v>
      </c>
      <c r="X144" s="10">
        <v>214.96180000000001</v>
      </c>
    </row>
    <row r="145" spans="1:24" x14ac:dyDescent="0.25">
      <c r="A145" t="s">
        <v>600</v>
      </c>
      <c r="B145" t="s">
        <v>601</v>
      </c>
      <c r="C145" s="1" t="s">
        <v>602</v>
      </c>
      <c r="D145" s="1" t="s">
        <v>1646</v>
      </c>
      <c r="E145" s="1" t="s">
        <v>603</v>
      </c>
      <c r="F145" s="1" t="s">
        <v>1696</v>
      </c>
      <c r="G145" s="1" t="s">
        <v>1585</v>
      </c>
      <c r="H145" s="1" t="s">
        <v>184</v>
      </c>
      <c r="I145" s="1" t="s">
        <v>22</v>
      </c>
      <c r="J145" s="1" t="s">
        <v>32</v>
      </c>
      <c r="K145" s="1" t="s">
        <v>33</v>
      </c>
      <c r="L145" s="1" t="s">
        <v>32</v>
      </c>
      <c r="M145" s="2">
        <v>45155</v>
      </c>
      <c r="N145" s="2" t="s">
        <v>25</v>
      </c>
      <c r="O145" s="2" t="s">
        <v>25</v>
      </c>
      <c r="P145" s="2" t="s">
        <v>25</v>
      </c>
      <c r="Q145" s="1" t="s">
        <v>26</v>
      </c>
      <c r="R145" s="7">
        <v>94946.32</v>
      </c>
      <c r="S145" s="7">
        <v>6781.88</v>
      </c>
      <c r="T145" s="7">
        <v>3366.99</v>
      </c>
      <c r="U145" s="7">
        <v>2162.85</v>
      </c>
      <c r="V145" s="7">
        <v>1252.04</v>
      </c>
      <c r="W145" s="10">
        <v>114.62690000000001</v>
      </c>
      <c r="X145" s="10">
        <v>164.80410000000001</v>
      </c>
    </row>
    <row r="146" spans="1:24" x14ac:dyDescent="0.25">
      <c r="A146" t="s">
        <v>604</v>
      </c>
      <c r="B146" t="s">
        <v>605</v>
      </c>
      <c r="C146" s="1" t="s">
        <v>606</v>
      </c>
      <c r="D146" s="1" t="s">
        <v>1646</v>
      </c>
      <c r="E146" s="1" t="s">
        <v>607</v>
      </c>
      <c r="F146" s="1" t="s">
        <v>1696</v>
      </c>
      <c r="G146" s="1" t="s">
        <v>1585</v>
      </c>
      <c r="H146" s="1" t="s">
        <v>259</v>
      </c>
      <c r="I146" s="1" t="s">
        <v>22</v>
      </c>
      <c r="J146" s="1" t="s">
        <v>23</v>
      </c>
      <c r="K146" s="1" t="s">
        <v>24</v>
      </c>
      <c r="L146" s="1" t="s">
        <v>23</v>
      </c>
      <c r="M146" s="2">
        <v>45155</v>
      </c>
      <c r="N146" s="2" t="s">
        <v>25</v>
      </c>
      <c r="O146" s="2" t="s">
        <v>25</v>
      </c>
      <c r="P146" s="2" t="s">
        <v>25</v>
      </c>
      <c r="Q146" s="1" t="s">
        <v>26</v>
      </c>
      <c r="R146" s="7">
        <v>89103.7</v>
      </c>
      <c r="S146" s="7">
        <v>6364.55</v>
      </c>
      <c r="T146" s="7">
        <v>3366.99</v>
      </c>
      <c r="U146" s="7">
        <v>2162.85</v>
      </c>
      <c r="V146" s="7">
        <v>834.71</v>
      </c>
      <c r="W146" s="10">
        <v>454.0299</v>
      </c>
      <c r="X146" s="10">
        <v>124.4987</v>
      </c>
    </row>
    <row r="147" spans="1:24" x14ac:dyDescent="0.25">
      <c r="A147" t="s">
        <v>608</v>
      </c>
      <c r="B147" t="s">
        <v>609</v>
      </c>
      <c r="C147" s="1" t="s">
        <v>610</v>
      </c>
      <c r="D147" s="1" t="s">
        <v>1647</v>
      </c>
      <c r="E147" s="1" t="s">
        <v>611</v>
      </c>
      <c r="F147" s="1" t="s">
        <v>1696</v>
      </c>
      <c r="G147" s="1" t="s">
        <v>1585</v>
      </c>
      <c r="H147" s="1" t="s">
        <v>487</v>
      </c>
      <c r="I147" s="1" t="s">
        <v>22</v>
      </c>
      <c r="J147" s="1" t="s">
        <v>32</v>
      </c>
      <c r="K147" s="1" t="s">
        <v>33</v>
      </c>
      <c r="L147" s="1" t="s">
        <v>32</v>
      </c>
      <c r="M147" s="2">
        <v>45155</v>
      </c>
      <c r="N147" s="2" t="s">
        <v>25</v>
      </c>
      <c r="O147" s="2" t="s">
        <v>25</v>
      </c>
      <c r="P147" s="2" t="s">
        <v>25</v>
      </c>
      <c r="Q147" s="1" t="s">
        <v>26</v>
      </c>
      <c r="R147" s="7">
        <v>94946.32</v>
      </c>
      <c r="S147" s="7">
        <v>6781.88</v>
      </c>
      <c r="T147" s="7">
        <v>3366.99</v>
      </c>
      <c r="U147" s="7">
        <v>2162.85</v>
      </c>
      <c r="V147" s="7">
        <v>1252.04</v>
      </c>
      <c r="W147" s="10">
        <v>121.791</v>
      </c>
      <c r="X147" s="10">
        <v>270.49360000000001</v>
      </c>
    </row>
    <row r="148" spans="1:24" x14ac:dyDescent="0.25">
      <c r="A148" t="s">
        <v>612</v>
      </c>
      <c r="B148" t="s">
        <v>613</v>
      </c>
      <c r="C148" s="1" t="s">
        <v>614</v>
      </c>
      <c r="D148" s="1" t="s">
        <v>1647</v>
      </c>
      <c r="E148" s="1" t="s">
        <v>615</v>
      </c>
      <c r="F148" s="1" t="s">
        <v>1696</v>
      </c>
      <c r="G148" s="1" t="s">
        <v>1585</v>
      </c>
      <c r="H148" s="1" t="s">
        <v>56</v>
      </c>
      <c r="I148" s="1" t="s">
        <v>22</v>
      </c>
      <c r="J148" s="1" t="s">
        <v>23</v>
      </c>
      <c r="K148" s="1" t="s">
        <v>24</v>
      </c>
      <c r="L148" s="1" t="s">
        <v>23</v>
      </c>
      <c r="M148" s="2">
        <v>45155</v>
      </c>
      <c r="N148" s="2" t="s">
        <v>25</v>
      </c>
      <c r="O148" s="2" t="s">
        <v>25</v>
      </c>
      <c r="P148" s="2" t="s">
        <v>25</v>
      </c>
      <c r="Q148" s="1" t="s">
        <v>26</v>
      </c>
      <c r="R148" s="7">
        <v>94946.32</v>
      </c>
      <c r="S148" s="7">
        <v>6781.88</v>
      </c>
      <c r="T148" s="7">
        <v>3366.99</v>
      </c>
      <c r="U148" s="7">
        <v>2162.85</v>
      </c>
      <c r="V148" s="7">
        <v>1252.04</v>
      </c>
      <c r="W148" s="10">
        <v>393.1343</v>
      </c>
      <c r="X148" s="10">
        <v>163.0127</v>
      </c>
    </row>
    <row r="149" spans="1:24" x14ac:dyDescent="0.25">
      <c r="A149" t="s">
        <v>616</v>
      </c>
      <c r="B149" t="s">
        <v>617</v>
      </c>
      <c r="C149" s="1" t="s">
        <v>618</v>
      </c>
      <c r="D149" s="1" t="s">
        <v>1647</v>
      </c>
      <c r="E149" s="1" t="s">
        <v>619</v>
      </c>
      <c r="F149" s="1" t="s">
        <v>1696</v>
      </c>
      <c r="G149" s="1" t="s">
        <v>1585</v>
      </c>
      <c r="H149" s="1" t="s">
        <v>620</v>
      </c>
      <c r="I149" s="1" t="s">
        <v>22</v>
      </c>
      <c r="J149" s="1" t="s">
        <v>303</v>
      </c>
      <c r="K149" s="1" t="s">
        <v>304</v>
      </c>
      <c r="L149" s="1" t="s">
        <v>303</v>
      </c>
      <c r="M149" s="2">
        <v>45155</v>
      </c>
      <c r="N149" s="2" t="s">
        <v>25</v>
      </c>
      <c r="O149" s="2" t="s">
        <v>25</v>
      </c>
      <c r="P149" s="2" t="s">
        <v>25</v>
      </c>
      <c r="Q149" s="1" t="s">
        <v>26</v>
      </c>
      <c r="R149" s="7">
        <v>94946.32</v>
      </c>
      <c r="S149" s="7">
        <v>6781.88</v>
      </c>
      <c r="T149" s="7">
        <v>3366.99</v>
      </c>
      <c r="U149" s="7">
        <v>2162.85</v>
      </c>
      <c r="V149" s="7">
        <v>1252.04</v>
      </c>
      <c r="W149" s="10">
        <v>104.7761</v>
      </c>
      <c r="X149" s="10">
        <v>133.4555</v>
      </c>
    </row>
    <row r="150" spans="1:24" x14ac:dyDescent="0.25">
      <c r="A150" t="s">
        <v>621</v>
      </c>
      <c r="B150" t="s">
        <v>622</v>
      </c>
      <c r="C150" s="1" t="s">
        <v>623</v>
      </c>
      <c r="D150" s="1" t="s">
        <v>1647</v>
      </c>
      <c r="E150" s="1" t="s">
        <v>624</v>
      </c>
      <c r="F150" s="1" t="s">
        <v>1697</v>
      </c>
      <c r="G150" s="1" t="s">
        <v>1671</v>
      </c>
      <c r="H150" s="1" t="s">
        <v>189</v>
      </c>
      <c r="I150" s="1" t="s">
        <v>22</v>
      </c>
      <c r="J150" s="1" t="s">
        <v>125</v>
      </c>
      <c r="K150" s="1" t="s">
        <v>124</v>
      </c>
      <c r="L150" s="1" t="s">
        <v>125</v>
      </c>
      <c r="M150" s="2">
        <v>45155</v>
      </c>
      <c r="N150" s="2" t="s">
        <v>25</v>
      </c>
      <c r="O150" s="2" t="s">
        <v>25</v>
      </c>
      <c r="P150" s="2" t="s">
        <v>25</v>
      </c>
      <c r="Q150" s="1" t="s">
        <v>26</v>
      </c>
      <c r="R150" s="7">
        <v>144074</v>
      </c>
      <c r="S150" s="7">
        <v>10291</v>
      </c>
      <c r="T150" s="7">
        <v>3366.99</v>
      </c>
      <c r="U150" s="7">
        <v>2162.85</v>
      </c>
      <c r="V150" s="7">
        <v>4761.16</v>
      </c>
      <c r="W150" s="10">
        <v>283.88060000000002</v>
      </c>
      <c r="X150" s="10">
        <v>342.14760000000001</v>
      </c>
    </row>
    <row r="151" spans="1:24" x14ac:dyDescent="0.25">
      <c r="A151" t="s">
        <v>625</v>
      </c>
      <c r="B151" t="s">
        <v>626</v>
      </c>
      <c r="C151" s="1" t="s">
        <v>627</v>
      </c>
      <c r="D151" s="1" t="s">
        <v>1646</v>
      </c>
      <c r="E151" s="1" t="s">
        <v>628</v>
      </c>
      <c r="F151" s="1" t="s">
        <v>1696</v>
      </c>
      <c r="G151" s="1" t="s">
        <v>1585</v>
      </c>
      <c r="H151" s="1" t="s">
        <v>31</v>
      </c>
      <c r="I151" s="1" t="s">
        <v>22</v>
      </c>
      <c r="J151" s="1" t="s">
        <v>41</v>
      </c>
      <c r="K151" s="1" t="s">
        <v>42</v>
      </c>
      <c r="L151" s="1" t="s">
        <v>41</v>
      </c>
      <c r="M151" s="2">
        <v>45155</v>
      </c>
      <c r="N151" s="2" t="s">
        <v>25</v>
      </c>
      <c r="O151" s="2" t="s">
        <v>25</v>
      </c>
      <c r="P151" s="2" t="s">
        <v>25</v>
      </c>
      <c r="Q151" s="1" t="s">
        <v>26</v>
      </c>
      <c r="R151" s="7">
        <v>94946.32</v>
      </c>
      <c r="S151" s="7">
        <v>6781.88</v>
      </c>
      <c r="T151" s="7">
        <v>3366.99</v>
      </c>
      <c r="U151" s="7">
        <v>2162.85</v>
      </c>
      <c r="V151" s="7">
        <v>1252.04</v>
      </c>
      <c r="W151" s="10">
        <v>309.85070000000002</v>
      </c>
      <c r="X151" s="10">
        <v>60.905900000000003</v>
      </c>
    </row>
    <row r="152" spans="1:24" x14ac:dyDescent="0.25">
      <c r="A152" t="s">
        <v>167</v>
      </c>
      <c r="B152" t="s">
        <v>629</v>
      </c>
      <c r="C152" s="1" t="s">
        <v>630</v>
      </c>
      <c r="D152" s="1" t="s">
        <v>1646</v>
      </c>
      <c r="E152" s="1" t="s">
        <v>631</v>
      </c>
      <c r="F152" s="1" t="s">
        <v>1696</v>
      </c>
      <c r="G152" s="1" t="s">
        <v>1585</v>
      </c>
      <c r="H152" s="1" t="s">
        <v>31</v>
      </c>
      <c r="I152" s="1" t="s">
        <v>22</v>
      </c>
      <c r="J152" s="1" t="s">
        <v>23</v>
      </c>
      <c r="K152" s="1" t="s">
        <v>24</v>
      </c>
      <c r="L152" s="1" t="s">
        <v>23</v>
      </c>
      <c r="M152" s="2">
        <v>45155</v>
      </c>
      <c r="N152" s="2">
        <v>46031</v>
      </c>
      <c r="O152" s="2" t="s">
        <v>25</v>
      </c>
      <c r="P152" s="1" t="s">
        <v>207</v>
      </c>
      <c r="Q152" s="1" t="s">
        <v>35</v>
      </c>
      <c r="R152" s="7">
        <v>85645.7</v>
      </c>
      <c r="S152" s="7">
        <v>6117.55</v>
      </c>
      <c r="T152" s="7">
        <v>3236.32</v>
      </c>
      <c r="U152" s="7">
        <v>2078.92</v>
      </c>
      <c r="V152" s="7">
        <v>802.31</v>
      </c>
      <c r="W152" s="10">
        <v>471.94029999999998</v>
      </c>
      <c r="X152" s="10">
        <v>174.65649999999999</v>
      </c>
    </row>
    <row r="153" spans="1:24" x14ac:dyDescent="0.25">
      <c r="A153" t="s">
        <v>632</v>
      </c>
      <c r="B153" t="s">
        <v>633</v>
      </c>
      <c r="C153" s="1" t="s">
        <v>634</v>
      </c>
      <c r="D153" s="1" t="s">
        <v>1646</v>
      </c>
      <c r="E153" s="1" t="s">
        <v>635</v>
      </c>
      <c r="F153" s="1" t="s">
        <v>1696</v>
      </c>
      <c r="G153" s="1" t="s">
        <v>1585</v>
      </c>
      <c r="H153" s="1" t="s">
        <v>21</v>
      </c>
      <c r="I153" s="1" t="s">
        <v>22</v>
      </c>
      <c r="J153" s="1" t="s">
        <v>32</v>
      </c>
      <c r="K153" s="1" t="s">
        <v>33</v>
      </c>
      <c r="L153" s="1" t="s">
        <v>32</v>
      </c>
      <c r="M153" s="2">
        <v>45155</v>
      </c>
      <c r="N153" s="2">
        <v>45352</v>
      </c>
      <c r="O153" s="2" t="s">
        <v>25</v>
      </c>
      <c r="P153" s="1" t="s">
        <v>1087</v>
      </c>
      <c r="Q153" s="1" t="s">
        <v>35</v>
      </c>
      <c r="R153" s="7">
        <v>71897</v>
      </c>
      <c r="S153" s="7">
        <v>5135.5</v>
      </c>
      <c r="T153" s="7">
        <v>3142.14</v>
      </c>
      <c r="U153" s="7">
        <v>2018.41</v>
      </c>
      <c r="V153" s="7">
        <v>0</v>
      </c>
      <c r="W153" s="10">
        <v>50.149299999999997</v>
      </c>
      <c r="X153" s="10">
        <v>226.60560000000001</v>
      </c>
    </row>
    <row r="154" spans="1:24" x14ac:dyDescent="0.25">
      <c r="A154" t="s">
        <v>636</v>
      </c>
      <c r="B154" t="s">
        <v>637</v>
      </c>
      <c r="C154" s="1" t="s">
        <v>638</v>
      </c>
      <c r="D154" s="1" t="s">
        <v>1646</v>
      </c>
      <c r="E154" s="1" t="s">
        <v>639</v>
      </c>
      <c r="F154" s="1" t="s">
        <v>1696</v>
      </c>
      <c r="G154" s="1" t="s">
        <v>1585</v>
      </c>
      <c r="H154" s="1" t="s">
        <v>144</v>
      </c>
      <c r="I154" s="1" t="s">
        <v>22</v>
      </c>
      <c r="J154" s="1" t="s">
        <v>32</v>
      </c>
      <c r="K154" s="1" t="s">
        <v>33</v>
      </c>
      <c r="L154" s="1" t="s">
        <v>32</v>
      </c>
      <c r="M154" s="2">
        <v>45155</v>
      </c>
      <c r="N154" s="2">
        <v>45266</v>
      </c>
      <c r="O154" s="2" t="s">
        <v>25</v>
      </c>
      <c r="P154" s="1" t="s">
        <v>1311</v>
      </c>
      <c r="Q154" s="1" t="s">
        <v>35</v>
      </c>
      <c r="R154" s="7">
        <v>79415.16</v>
      </c>
      <c r="S154" s="7">
        <v>6617.93</v>
      </c>
      <c r="T154" s="7">
        <v>3142.14</v>
      </c>
      <c r="U154" s="7">
        <v>2018.41</v>
      </c>
      <c r="V154" s="7">
        <v>0</v>
      </c>
      <c r="W154" s="10">
        <v>29.552199999999999</v>
      </c>
      <c r="X154" s="10">
        <v>344.83460000000002</v>
      </c>
    </row>
    <row r="155" spans="1:24" x14ac:dyDescent="0.25">
      <c r="A155" t="s">
        <v>640</v>
      </c>
      <c r="B155" t="s">
        <v>641</v>
      </c>
      <c r="C155" s="1" t="s">
        <v>642</v>
      </c>
      <c r="D155" s="1" t="s">
        <v>1646</v>
      </c>
      <c r="E155" s="1" t="s">
        <v>643</v>
      </c>
      <c r="F155" s="1" t="s">
        <v>1696</v>
      </c>
      <c r="G155" s="1" t="s">
        <v>1585</v>
      </c>
      <c r="H155" s="1" t="s">
        <v>56</v>
      </c>
      <c r="I155" s="1" t="s">
        <v>22</v>
      </c>
      <c r="J155" s="1" t="s">
        <v>32</v>
      </c>
      <c r="K155" s="1" t="s">
        <v>33</v>
      </c>
      <c r="L155" s="1" t="s">
        <v>32</v>
      </c>
      <c r="M155" s="2">
        <v>45695</v>
      </c>
      <c r="N155" s="2" t="s">
        <v>25</v>
      </c>
      <c r="O155" s="2" t="s">
        <v>25</v>
      </c>
      <c r="P155" s="2" t="s">
        <v>25</v>
      </c>
      <c r="Q155" s="1" t="s">
        <v>26</v>
      </c>
      <c r="R155" s="7">
        <v>94946.32</v>
      </c>
      <c r="S155" s="7">
        <v>6781.88</v>
      </c>
      <c r="T155" s="7">
        <v>3366.99</v>
      </c>
      <c r="U155" s="7">
        <v>2162.85</v>
      </c>
      <c r="V155" s="7">
        <v>1252.04</v>
      </c>
      <c r="W155" s="10">
        <v>10.7463</v>
      </c>
      <c r="X155" s="10">
        <v>162.11699999999999</v>
      </c>
    </row>
    <row r="156" spans="1:24" x14ac:dyDescent="0.25">
      <c r="A156" t="s">
        <v>644</v>
      </c>
      <c r="B156" t="s">
        <v>645</v>
      </c>
      <c r="C156" s="1" t="s">
        <v>646</v>
      </c>
      <c r="D156" s="1" t="s">
        <v>1647</v>
      </c>
      <c r="E156" s="1" t="s">
        <v>647</v>
      </c>
      <c r="F156" s="1" t="s">
        <v>1696</v>
      </c>
      <c r="G156" s="1" t="s">
        <v>1585</v>
      </c>
      <c r="H156" s="1" t="s">
        <v>95</v>
      </c>
      <c r="I156" s="1" t="s">
        <v>22</v>
      </c>
      <c r="J156" s="1" t="s">
        <v>23</v>
      </c>
      <c r="K156" s="1" t="s">
        <v>24</v>
      </c>
      <c r="L156" s="1" t="s">
        <v>23</v>
      </c>
      <c r="M156" s="2">
        <v>45155</v>
      </c>
      <c r="N156" s="2">
        <v>45639</v>
      </c>
      <c r="O156" s="2" t="s">
        <v>25</v>
      </c>
      <c r="P156" s="1" t="s">
        <v>438</v>
      </c>
      <c r="Q156" s="1" t="s">
        <v>35</v>
      </c>
      <c r="R156" s="7">
        <v>71897</v>
      </c>
      <c r="S156" s="7">
        <v>5135.5</v>
      </c>
      <c r="T156" s="7">
        <v>3142.14</v>
      </c>
      <c r="U156" s="7">
        <v>2018.41</v>
      </c>
      <c r="V156" s="7">
        <v>0</v>
      </c>
      <c r="W156" s="10">
        <v>194.32839999999999</v>
      </c>
      <c r="X156" s="10">
        <v>9.8523999999999994</v>
      </c>
    </row>
    <row r="157" spans="1:24" x14ac:dyDescent="0.25">
      <c r="A157" t="s">
        <v>648</v>
      </c>
      <c r="B157" t="s">
        <v>649</v>
      </c>
      <c r="C157" s="1" t="s">
        <v>650</v>
      </c>
      <c r="D157" s="1" t="s">
        <v>1647</v>
      </c>
      <c r="E157" s="1" t="s">
        <v>651</v>
      </c>
      <c r="F157" s="1" t="s">
        <v>1696</v>
      </c>
      <c r="G157" s="1" t="s">
        <v>1585</v>
      </c>
      <c r="H157" s="1" t="s">
        <v>40</v>
      </c>
      <c r="I157" s="1" t="s">
        <v>22</v>
      </c>
      <c r="J157" s="1" t="s">
        <v>32</v>
      </c>
      <c r="K157" s="1" t="s">
        <v>33</v>
      </c>
      <c r="L157" s="1" t="s">
        <v>32</v>
      </c>
      <c r="M157" s="2">
        <v>45155</v>
      </c>
      <c r="N157" s="2">
        <v>45552</v>
      </c>
      <c r="O157" s="2" t="s">
        <v>25</v>
      </c>
      <c r="P157" s="1" t="s">
        <v>997</v>
      </c>
      <c r="Q157" s="1" t="s">
        <v>35</v>
      </c>
      <c r="R157" s="7">
        <v>57477.98</v>
      </c>
      <c r="S157" s="7">
        <v>4105.57</v>
      </c>
      <c r="T157" s="7">
        <v>3142.14</v>
      </c>
      <c r="U157" s="7">
        <v>963.43</v>
      </c>
      <c r="V157" s="7">
        <v>0</v>
      </c>
      <c r="W157" s="10">
        <v>77.014899999999997</v>
      </c>
      <c r="X157" s="10">
        <v>59.1145</v>
      </c>
    </row>
    <row r="158" spans="1:24" x14ac:dyDescent="0.25">
      <c r="A158" t="s">
        <v>652</v>
      </c>
      <c r="B158" t="s">
        <v>653</v>
      </c>
      <c r="C158" s="1" t="s">
        <v>654</v>
      </c>
      <c r="D158" s="1" t="s">
        <v>1646</v>
      </c>
      <c r="E158" s="1" t="s">
        <v>655</v>
      </c>
      <c r="F158" s="1" t="s">
        <v>1696</v>
      </c>
      <c r="G158" s="1" t="s">
        <v>1585</v>
      </c>
      <c r="H158" s="1" t="s">
        <v>353</v>
      </c>
      <c r="I158" s="1" t="s">
        <v>22</v>
      </c>
      <c r="J158" s="1" t="s">
        <v>32</v>
      </c>
      <c r="K158" s="1" t="s">
        <v>33</v>
      </c>
      <c r="L158" s="1" t="s">
        <v>32</v>
      </c>
      <c r="M158" s="2">
        <v>45155</v>
      </c>
      <c r="N158" s="2" t="s">
        <v>25</v>
      </c>
      <c r="O158" s="2" t="s">
        <v>25</v>
      </c>
      <c r="P158" s="2" t="s">
        <v>25</v>
      </c>
      <c r="Q158" s="1" t="s">
        <v>26</v>
      </c>
      <c r="R158" s="7">
        <v>94946.32</v>
      </c>
      <c r="S158" s="7">
        <v>6781.88</v>
      </c>
      <c r="T158" s="7">
        <v>3366.99</v>
      </c>
      <c r="U158" s="7">
        <v>2162.85</v>
      </c>
      <c r="V158" s="7">
        <v>1252.04</v>
      </c>
      <c r="W158" s="10">
        <v>82.388099999999994</v>
      </c>
      <c r="X158" s="10">
        <v>173.76079999999999</v>
      </c>
    </row>
    <row r="159" spans="1:24" x14ac:dyDescent="0.25">
      <c r="A159" t="s">
        <v>382</v>
      </c>
      <c r="B159" t="s">
        <v>656</v>
      </c>
      <c r="C159" s="1" t="s">
        <v>657</v>
      </c>
      <c r="D159" s="1" t="s">
        <v>1647</v>
      </c>
      <c r="E159" s="1" t="s">
        <v>658</v>
      </c>
      <c r="F159" s="1" t="s">
        <v>1696</v>
      </c>
      <c r="G159" s="1" t="s">
        <v>1585</v>
      </c>
      <c r="H159" s="1" t="s">
        <v>31</v>
      </c>
      <c r="I159" s="1" t="s">
        <v>22</v>
      </c>
      <c r="J159" s="1" t="s">
        <v>32</v>
      </c>
      <c r="K159" s="1" t="s">
        <v>33</v>
      </c>
      <c r="L159" s="1" t="s">
        <v>32</v>
      </c>
      <c r="M159" s="2">
        <v>46063</v>
      </c>
      <c r="N159" s="2" t="s">
        <v>25</v>
      </c>
      <c r="O159" s="1" t="s">
        <v>29</v>
      </c>
      <c r="P159" s="2" t="s">
        <v>25</v>
      </c>
      <c r="Q159" s="1" t="s">
        <v>26</v>
      </c>
      <c r="R159" s="7">
        <v>89703.7</v>
      </c>
      <c r="S159" s="7">
        <f>6364.55+42.86</f>
        <v>6407.41</v>
      </c>
      <c r="T159" s="7">
        <v>3366.99</v>
      </c>
      <c r="U159" s="7">
        <v>2162.85</v>
      </c>
      <c r="V159" s="7">
        <v>834.71</v>
      </c>
      <c r="W159" s="10">
        <v>5.3731</v>
      </c>
      <c r="X159" s="10">
        <v>213.1705</v>
      </c>
    </row>
    <row r="160" spans="1:24" x14ac:dyDescent="0.25">
      <c r="A160" t="s">
        <v>659</v>
      </c>
      <c r="B160" t="s">
        <v>660</v>
      </c>
      <c r="C160" s="1" t="s">
        <v>661</v>
      </c>
      <c r="D160" s="1" t="s">
        <v>1646</v>
      </c>
      <c r="E160" s="1" t="s">
        <v>662</v>
      </c>
      <c r="F160" s="1" t="s">
        <v>1696</v>
      </c>
      <c r="G160" s="1" t="s">
        <v>1585</v>
      </c>
      <c r="H160" s="1" t="s">
        <v>31</v>
      </c>
      <c r="I160" s="1" t="s">
        <v>22</v>
      </c>
      <c r="J160" s="1" t="s">
        <v>125</v>
      </c>
      <c r="K160" s="1" t="s">
        <v>124</v>
      </c>
      <c r="L160" s="1" t="s">
        <v>125</v>
      </c>
      <c r="M160" s="2">
        <v>45155</v>
      </c>
      <c r="N160" s="2" t="s">
        <v>25</v>
      </c>
      <c r="O160" s="2" t="s">
        <v>25</v>
      </c>
      <c r="P160" s="2" t="s">
        <v>25</v>
      </c>
      <c r="Q160" s="1" t="s">
        <v>26</v>
      </c>
      <c r="R160" s="7">
        <v>94946.32</v>
      </c>
      <c r="S160" s="7">
        <v>6781.88</v>
      </c>
      <c r="T160" s="7">
        <v>3366.99</v>
      </c>
      <c r="U160" s="7">
        <v>2162.85</v>
      </c>
      <c r="V160" s="7">
        <v>1252.04</v>
      </c>
      <c r="W160" s="10">
        <v>249.85069999999999</v>
      </c>
      <c r="X160" s="10">
        <v>102.1069</v>
      </c>
    </row>
    <row r="161" spans="1:24" x14ac:dyDescent="0.25">
      <c r="A161" t="s">
        <v>663</v>
      </c>
      <c r="B161" t="s">
        <v>664</v>
      </c>
      <c r="C161" s="1" t="s">
        <v>665</v>
      </c>
      <c r="D161" s="1" t="s">
        <v>1646</v>
      </c>
      <c r="E161" s="1" t="s">
        <v>666</v>
      </c>
      <c r="F161" s="1" t="s">
        <v>1696</v>
      </c>
      <c r="G161" s="1" t="s">
        <v>1585</v>
      </c>
      <c r="H161" s="1" t="s">
        <v>31</v>
      </c>
      <c r="I161" s="1" t="s">
        <v>22</v>
      </c>
      <c r="J161" s="1" t="s">
        <v>23</v>
      </c>
      <c r="K161" s="1" t="s">
        <v>24</v>
      </c>
      <c r="L161" s="1" t="s">
        <v>23</v>
      </c>
      <c r="M161" s="2">
        <v>45155</v>
      </c>
      <c r="N161" s="2">
        <v>45474</v>
      </c>
      <c r="O161" s="2" t="s">
        <v>25</v>
      </c>
      <c r="P161" s="1" t="s">
        <v>1019</v>
      </c>
      <c r="Q161" s="1" t="s">
        <v>35</v>
      </c>
      <c r="R161" s="7">
        <v>71897</v>
      </c>
      <c r="S161" s="7">
        <v>5135.5</v>
      </c>
      <c r="T161" s="7">
        <v>3142.14</v>
      </c>
      <c r="U161" s="7">
        <v>2018.41</v>
      </c>
      <c r="V161" s="7">
        <v>0</v>
      </c>
      <c r="W161" s="10">
        <v>438.80599999999998</v>
      </c>
      <c r="X161" s="10">
        <v>99.419799999999995</v>
      </c>
    </row>
    <row r="162" spans="1:24" x14ac:dyDescent="0.25">
      <c r="A162" t="s">
        <v>667</v>
      </c>
      <c r="B162" t="s">
        <v>668</v>
      </c>
      <c r="C162" s="1" t="s">
        <v>669</v>
      </c>
      <c r="D162" s="1" t="s">
        <v>1647</v>
      </c>
      <c r="E162" s="1" t="s">
        <v>670</v>
      </c>
      <c r="F162" s="1" t="s">
        <v>1697</v>
      </c>
      <c r="G162" s="1" t="s">
        <v>1672</v>
      </c>
      <c r="H162" s="1" t="s">
        <v>585</v>
      </c>
      <c r="I162" s="1" t="s">
        <v>22</v>
      </c>
      <c r="J162" s="1" t="s">
        <v>23</v>
      </c>
      <c r="K162" s="1" t="s">
        <v>24</v>
      </c>
      <c r="L162" s="1" t="s">
        <v>23</v>
      </c>
      <c r="M162" s="2">
        <v>45155</v>
      </c>
      <c r="N162" s="2" t="s">
        <v>25</v>
      </c>
      <c r="O162" s="2" t="s">
        <v>25</v>
      </c>
      <c r="P162" s="2" t="s">
        <v>25</v>
      </c>
      <c r="Q162" s="1" t="s">
        <v>26</v>
      </c>
      <c r="R162" s="7">
        <v>150520.44</v>
      </c>
      <c r="S162" s="7">
        <v>10751.46</v>
      </c>
      <c r="T162" s="7">
        <v>3366.99</v>
      </c>
      <c r="U162" s="7">
        <v>2162.85</v>
      </c>
      <c r="V162" s="7">
        <v>5221.62</v>
      </c>
      <c r="W162" s="10">
        <v>198.80600000000001</v>
      </c>
      <c r="X162" s="10">
        <v>342.14760000000001</v>
      </c>
    </row>
    <row r="163" spans="1:24" x14ac:dyDescent="0.25">
      <c r="A163" t="s">
        <v>671</v>
      </c>
      <c r="B163" t="s">
        <v>672</v>
      </c>
      <c r="C163" s="1" t="s">
        <v>673</v>
      </c>
      <c r="D163" s="1" t="s">
        <v>1646</v>
      </c>
      <c r="E163" s="1" t="s">
        <v>674</v>
      </c>
      <c r="F163" s="1" t="s">
        <v>1696</v>
      </c>
      <c r="G163" s="1" t="s">
        <v>1585</v>
      </c>
      <c r="H163" s="1" t="s">
        <v>447</v>
      </c>
      <c r="I163" s="1" t="s">
        <v>22</v>
      </c>
      <c r="J163" s="1" t="s">
        <v>41</v>
      </c>
      <c r="K163" s="1" t="s">
        <v>42</v>
      </c>
      <c r="L163" s="1" t="s">
        <v>41</v>
      </c>
      <c r="M163" s="2">
        <v>45155</v>
      </c>
      <c r="N163" s="2" t="s">
        <v>25</v>
      </c>
      <c r="O163" s="2" t="s">
        <v>25</v>
      </c>
      <c r="P163" s="2" t="s">
        <v>25</v>
      </c>
      <c r="Q163" s="1" t="s">
        <v>26</v>
      </c>
      <c r="R163" s="7">
        <v>94946.32</v>
      </c>
      <c r="S163" s="7">
        <v>6781.88</v>
      </c>
      <c r="T163" s="7">
        <v>3366.99</v>
      </c>
      <c r="U163" s="7">
        <v>2162.85</v>
      </c>
      <c r="V163" s="7">
        <v>1252.04</v>
      </c>
      <c r="W163" s="10">
        <v>186.2687</v>
      </c>
      <c r="X163" s="10">
        <v>56.427500000000002</v>
      </c>
    </row>
    <row r="164" spans="1:24" x14ac:dyDescent="0.25">
      <c r="A164" t="s">
        <v>667</v>
      </c>
      <c r="B164" t="s">
        <v>675</v>
      </c>
      <c r="C164" s="1" t="s">
        <v>676</v>
      </c>
      <c r="D164" s="1" t="s">
        <v>1647</v>
      </c>
      <c r="E164" s="1" t="s">
        <v>677</v>
      </c>
      <c r="F164" s="1" t="s">
        <v>1696</v>
      </c>
      <c r="G164" s="1" t="s">
        <v>1585</v>
      </c>
      <c r="H164" s="1" t="s">
        <v>95</v>
      </c>
      <c r="I164" s="1" t="s">
        <v>22</v>
      </c>
      <c r="J164" s="1" t="s">
        <v>32</v>
      </c>
      <c r="K164" s="1" t="s">
        <v>33</v>
      </c>
      <c r="L164" s="1" t="s">
        <v>32</v>
      </c>
      <c r="M164" s="2">
        <v>45302</v>
      </c>
      <c r="N164" s="2" t="s">
        <v>25</v>
      </c>
      <c r="O164" s="1" t="s">
        <v>1480</v>
      </c>
      <c r="P164" s="2" t="s">
        <v>25</v>
      </c>
      <c r="Q164" s="1" t="s">
        <v>26</v>
      </c>
      <c r="R164" s="7">
        <v>89103.7</v>
      </c>
      <c r="S164" s="7">
        <v>6364.55</v>
      </c>
      <c r="T164" s="7">
        <v>3366.99</v>
      </c>
      <c r="U164" s="7">
        <v>2162.85</v>
      </c>
      <c r="V164" s="7">
        <v>834.71</v>
      </c>
      <c r="W164" s="10">
        <v>52.835799999999999</v>
      </c>
      <c r="X164" s="10">
        <v>325.12979999999999</v>
      </c>
    </row>
    <row r="165" spans="1:24" x14ac:dyDescent="0.25">
      <c r="A165" t="s">
        <v>463</v>
      </c>
      <c r="B165" t="s">
        <v>678</v>
      </c>
      <c r="C165" s="1" t="s">
        <v>679</v>
      </c>
      <c r="D165" s="1" t="s">
        <v>1646</v>
      </c>
      <c r="E165" s="1" t="s">
        <v>680</v>
      </c>
      <c r="F165" s="1" t="s">
        <v>1698</v>
      </c>
      <c r="G165" s="1" t="s">
        <v>1639</v>
      </c>
      <c r="H165" s="1" t="s">
        <v>189</v>
      </c>
      <c r="I165" s="1" t="s">
        <v>22</v>
      </c>
      <c r="J165" s="1" t="s">
        <v>32</v>
      </c>
      <c r="K165" s="1" t="s">
        <v>33</v>
      </c>
      <c r="L165" s="1" t="s">
        <v>1693</v>
      </c>
      <c r="M165" s="2">
        <v>45155</v>
      </c>
      <c r="N165" s="2" t="s">
        <v>25</v>
      </c>
      <c r="O165" s="2" t="s">
        <v>25</v>
      </c>
      <c r="P165" s="2" t="s">
        <v>25</v>
      </c>
      <c r="Q165" s="1" t="s">
        <v>26</v>
      </c>
      <c r="R165" s="7">
        <v>99757.68</v>
      </c>
      <c r="S165" s="7">
        <v>8313.14</v>
      </c>
      <c r="T165" s="7">
        <v>3366.99</v>
      </c>
      <c r="U165" s="7">
        <v>0</v>
      </c>
      <c r="V165" s="7">
        <v>0</v>
      </c>
      <c r="W165" s="10">
        <v>180.8955</v>
      </c>
      <c r="X165" s="10">
        <v>186.30029999999999</v>
      </c>
    </row>
    <row r="166" spans="1:24" x14ac:dyDescent="0.25">
      <c r="A166" t="s">
        <v>681</v>
      </c>
      <c r="B166" t="s">
        <v>682</v>
      </c>
      <c r="C166" s="1" t="s">
        <v>683</v>
      </c>
      <c r="D166" s="1" t="s">
        <v>1647</v>
      </c>
      <c r="E166" s="1" t="s">
        <v>684</v>
      </c>
      <c r="F166" s="1" t="s">
        <v>1696</v>
      </c>
      <c r="G166" s="1" t="s">
        <v>1585</v>
      </c>
      <c r="H166" s="1" t="s">
        <v>620</v>
      </c>
      <c r="I166" s="1" t="s">
        <v>22</v>
      </c>
      <c r="J166" s="1" t="s">
        <v>123</v>
      </c>
      <c r="K166" s="1" t="s">
        <v>149</v>
      </c>
      <c r="L166" s="1" t="s">
        <v>123</v>
      </c>
      <c r="M166" s="2">
        <v>45155</v>
      </c>
      <c r="N166" s="2" t="s">
        <v>25</v>
      </c>
      <c r="O166" s="2" t="s">
        <v>25</v>
      </c>
      <c r="P166" s="2" t="s">
        <v>25</v>
      </c>
      <c r="Q166" s="1" t="s">
        <v>26</v>
      </c>
      <c r="R166" s="7">
        <v>101392.76</v>
      </c>
      <c r="S166" s="7">
        <v>7242.34</v>
      </c>
      <c r="T166" s="7">
        <v>3366.99</v>
      </c>
      <c r="U166" s="7">
        <v>2162.85</v>
      </c>
      <c r="V166" s="7">
        <v>1712.5</v>
      </c>
      <c r="W166" s="10">
        <v>328.6567</v>
      </c>
      <c r="X166" s="10">
        <v>95.837199999999996</v>
      </c>
    </row>
    <row r="167" spans="1:24" x14ac:dyDescent="0.25">
      <c r="A167" t="s">
        <v>685</v>
      </c>
      <c r="B167" t="s">
        <v>686</v>
      </c>
      <c r="C167" s="1" t="s">
        <v>687</v>
      </c>
      <c r="D167" s="1" t="s">
        <v>1647</v>
      </c>
      <c r="E167" s="1" t="s">
        <v>688</v>
      </c>
      <c r="F167" s="1" t="s">
        <v>1696</v>
      </c>
      <c r="G167" s="1" t="s">
        <v>1585</v>
      </c>
      <c r="H167" s="1" t="s">
        <v>285</v>
      </c>
      <c r="I167" s="1" t="s">
        <v>22</v>
      </c>
      <c r="J167" s="1" t="s">
        <v>23</v>
      </c>
      <c r="K167" s="1" t="s">
        <v>24</v>
      </c>
      <c r="L167" s="1" t="s">
        <v>23</v>
      </c>
      <c r="M167" s="2">
        <v>45183</v>
      </c>
      <c r="N167" s="2" t="s">
        <v>25</v>
      </c>
      <c r="O167" s="1" t="s">
        <v>879</v>
      </c>
      <c r="P167" s="2" t="s">
        <v>25</v>
      </c>
      <c r="Q167" s="1" t="s">
        <v>26</v>
      </c>
      <c r="R167" s="7">
        <v>94946.32</v>
      </c>
      <c r="S167" s="7">
        <v>6781.88</v>
      </c>
      <c r="T167" s="7">
        <v>3366.99</v>
      </c>
      <c r="U167" s="7">
        <v>2162.85</v>
      </c>
      <c r="V167" s="7">
        <v>1252.04</v>
      </c>
      <c r="W167" s="10">
        <v>380.59699999999998</v>
      </c>
      <c r="X167" s="10">
        <v>206.0051</v>
      </c>
    </row>
    <row r="168" spans="1:24" x14ac:dyDescent="0.25">
      <c r="A168" t="s">
        <v>689</v>
      </c>
      <c r="B168" t="s">
        <v>690</v>
      </c>
      <c r="C168" s="1" t="s">
        <v>691</v>
      </c>
      <c r="D168" s="1" t="s">
        <v>1647</v>
      </c>
      <c r="E168" s="1" t="s">
        <v>692</v>
      </c>
      <c r="F168" s="1" t="s">
        <v>1696</v>
      </c>
      <c r="G168" s="1" t="s">
        <v>1585</v>
      </c>
      <c r="H168" s="1" t="s">
        <v>67</v>
      </c>
      <c r="I168" s="1" t="s">
        <v>22</v>
      </c>
      <c r="J168" s="1" t="s">
        <v>32</v>
      </c>
      <c r="K168" s="1" t="s">
        <v>33</v>
      </c>
      <c r="L168" s="1" t="s">
        <v>32</v>
      </c>
      <c r="M168" s="2">
        <v>45155</v>
      </c>
      <c r="N168" s="2">
        <v>45531</v>
      </c>
      <c r="O168" s="2" t="s">
        <v>25</v>
      </c>
      <c r="P168" s="1" t="s">
        <v>318</v>
      </c>
      <c r="Q168" s="1" t="s">
        <v>35</v>
      </c>
      <c r="R168" s="7">
        <v>71897</v>
      </c>
      <c r="S168" s="7">
        <v>5135.5</v>
      </c>
      <c r="T168" s="7">
        <v>3142.14</v>
      </c>
      <c r="U168" s="7">
        <v>2018.41</v>
      </c>
      <c r="V168" s="7">
        <v>0</v>
      </c>
      <c r="W168" s="10">
        <v>6.2686999999999999</v>
      </c>
      <c r="X168" s="10">
        <v>248.9975</v>
      </c>
    </row>
    <row r="169" spans="1:24" x14ac:dyDescent="0.25">
      <c r="A169" t="s">
        <v>52</v>
      </c>
      <c r="B169" t="s">
        <v>693</v>
      </c>
      <c r="C169" s="1" t="s">
        <v>694</v>
      </c>
      <c r="D169" s="1" t="s">
        <v>1647</v>
      </c>
      <c r="E169" s="1" t="s">
        <v>695</v>
      </c>
      <c r="F169" s="1" t="s">
        <v>1696</v>
      </c>
      <c r="G169" s="1" t="s">
        <v>1585</v>
      </c>
      <c r="H169" s="1" t="s">
        <v>139</v>
      </c>
      <c r="I169" s="1" t="s">
        <v>22</v>
      </c>
      <c r="J169" s="1" t="s">
        <v>32</v>
      </c>
      <c r="K169" s="1" t="s">
        <v>33</v>
      </c>
      <c r="L169" s="1" t="s">
        <v>32</v>
      </c>
      <c r="M169" s="2">
        <v>45155</v>
      </c>
      <c r="N169" s="2">
        <v>45812</v>
      </c>
      <c r="O169" s="2" t="s">
        <v>25</v>
      </c>
      <c r="P169" s="1" t="s">
        <v>267</v>
      </c>
      <c r="Q169" s="1" t="s">
        <v>35</v>
      </c>
      <c r="R169" s="7">
        <v>71897</v>
      </c>
      <c r="S169" s="7">
        <v>5135.5</v>
      </c>
      <c r="T169" s="7">
        <v>3142.14</v>
      </c>
      <c r="U169" s="7">
        <v>2018.41</v>
      </c>
      <c r="V169" s="7">
        <v>0</v>
      </c>
      <c r="W169" s="10">
        <v>87.761200000000002</v>
      </c>
      <c r="X169" s="10">
        <v>51.949100000000001</v>
      </c>
    </row>
    <row r="170" spans="1:24" x14ac:dyDescent="0.25">
      <c r="A170" t="s">
        <v>696</v>
      </c>
      <c r="B170" t="s">
        <v>697</v>
      </c>
      <c r="C170" s="1" t="s">
        <v>698</v>
      </c>
      <c r="D170" s="1" t="s">
        <v>1646</v>
      </c>
      <c r="E170" s="1" t="s">
        <v>699</v>
      </c>
      <c r="F170" s="1" t="s">
        <v>1696</v>
      </c>
      <c r="G170" s="1" t="s">
        <v>1585</v>
      </c>
      <c r="H170" s="1" t="s">
        <v>213</v>
      </c>
      <c r="I170" s="1" t="s">
        <v>22</v>
      </c>
      <c r="J170" s="1" t="s">
        <v>125</v>
      </c>
      <c r="K170" s="1" t="s">
        <v>124</v>
      </c>
      <c r="L170" s="1" t="s">
        <v>125</v>
      </c>
      <c r="M170" s="2">
        <v>45155</v>
      </c>
      <c r="N170" s="2" t="s">
        <v>25</v>
      </c>
      <c r="O170" s="2" t="s">
        <v>25</v>
      </c>
      <c r="P170" s="2" t="s">
        <v>25</v>
      </c>
      <c r="Q170" s="1" t="s">
        <v>26</v>
      </c>
      <c r="R170" s="7">
        <v>101392.76</v>
      </c>
      <c r="S170" s="7">
        <v>7242.34</v>
      </c>
      <c r="T170" s="7">
        <v>3366.99</v>
      </c>
      <c r="U170" s="7">
        <v>2162.85</v>
      </c>
      <c r="V170" s="7">
        <v>1712.5</v>
      </c>
      <c r="W170" s="10">
        <v>176.4179</v>
      </c>
      <c r="X170" s="10">
        <v>117.33329999999999</v>
      </c>
    </row>
    <row r="171" spans="1:24" x14ac:dyDescent="0.25">
      <c r="A171" t="s">
        <v>700</v>
      </c>
      <c r="B171" t="s">
        <v>701</v>
      </c>
      <c r="C171" s="1" t="s">
        <v>702</v>
      </c>
      <c r="D171" s="1" t="s">
        <v>1647</v>
      </c>
      <c r="E171" s="1" t="s">
        <v>703</v>
      </c>
      <c r="F171" s="1" t="s">
        <v>1696</v>
      </c>
      <c r="G171" s="1" t="s">
        <v>1585</v>
      </c>
      <c r="H171" s="1" t="s">
        <v>67</v>
      </c>
      <c r="I171" s="1" t="s">
        <v>22</v>
      </c>
      <c r="J171" s="1" t="s">
        <v>32</v>
      </c>
      <c r="K171" s="1" t="s">
        <v>33</v>
      </c>
      <c r="L171" s="1" t="s">
        <v>32</v>
      </c>
      <c r="M171" s="2">
        <v>45155</v>
      </c>
      <c r="N171" s="2" t="s">
        <v>25</v>
      </c>
      <c r="O171" s="2" t="s">
        <v>25</v>
      </c>
      <c r="P171" s="2" t="s">
        <v>25</v>
      </c>
      <c r="Q171" s="1" t="s">
        <v>26</v>
      </c>
      <c r="R171" s="7">
        <v>101392.76</v>
      </c>
      <c r="S171" s="7">
        <v>7242.34</v>
      </c>
      <c r="T171" s="7">
        <v>3366.99</v>
      </c>
      <c r="U171" s="7">
        <v>2162.85</v>
      </c>
      <c r="V171" s="7">
        <v>1712.5</v>
      </c>
      <c r="W171" s="10">
        <v>123.5821</v>
      </c>
      <c r="X171" s="10">
        <v>201.52670000000001</v>
      </c>
    </row>
    <row r="172" spans="1:24" x14ac:dyDescent="0.25">
      <c r="A172" t="s">
        <v>704</v>
      </c>
      <c r="B172" t="s">
        <v>705</v>
      </c>
      <c r="C172" s="1" t="s">
        <v>706</v>
      </c>
      <c r="D172" s="1" t="s">
        <v>1646</v>
      </c>
      <c r="E172" s="1" t="s">
        <v>707</v>
      </c>
      <c r="F172" s="1" t="s">
        <v>1696</v>
      </c>
      <c r="G172" s="1" t="s">
        <v>1585</v>
      </c>
      <c r="H172" s="1" t="s">
        <v>108</v>
      </c>
      <c r="I172" s="1" t="s">
        <v>22</v>
      </c>
      <c r="J172" s="1" t="s">
        <v>32</v>
      </c>
      <c r="K172" s="1" t="s">
        <v>33</v>
      </c>
      <c r="L172" s="1" t="s">
        <v>32</v>
      </c>
      <c r="M172" s="2">
        <v>45155</v>
      </c>
      <c r="N172" s="2" t="s">
        <v>25</v>
      </c>
      <c r="O172" s="2" t="s">
        <v>25</v>
      </c>
      <c r="P172" s="2" t="s">
        <v>25</v>
      </c>
      <c r="Q172" s="1" t="s">
        <v>26</v>
      </c>
      <c r="R172" s="7">
        <v>94946.32</v>
      </c>
      <c r="S172" s="7">
        <v>6781.88</v>
      </c>
      <c r="T172" s="7">
        <v>3366.99</v>
      </c>
      <c r="U172" s="7">
        <v>2162.85</v>
      </c>
      <c r="V172" s="7">
        <v>1252.04</v>
      </c>
      <c r="W172" s="10">
        <v>52.835799999999999</v>
      </c>
      <c r="X172" s="10">
        <v>196.15270000000001</v>
      </c>
    </row>
    <row r="173" spans="1:24" x14ac:dyDescent="0.25">
      <c r="A173" t="s">
        <v>308</v>
      </c>
      <c r="B173" t="s">
        <v>708</v>
      </c>
      <c r="C173" s="1" t="s">
        <v>709</v>
      </c>
      <c r="D173" s="1" t="s">
        <v>1646</v>
      </c>
      <c r="E173" s="1" t="s">
        <v>710</v>
      </c>
      <c r="F173" s="1" t="s">
        <v>1696</v>
      </c>
      <c r="G173" s="1" t="s">
        <v>1585</v>
      </c>
      <c r="H173" s="1" t="s">
        <v>40</v>
      </c>
      <c r="I173" s="1" t="s">
        <v>22</v>
      </c>
      <c r="J173" s="1" t="s">
        <v>32</v>
      </c>
      <c r="K173" s="1" t="s">
        <v>33</v>
      </c>
      <c r="L173" s="1" t="s">
        <v>32</v>
      </c>
      <c r="M173" s="2">
        <v>45155</v>
      </c>
      <c r="N173" s="2" t="s">
        <v>25</v>
      </c>
      <c r="O173" s="1" t="s">
        <v>820</v>
      </c>
      <c r="P173" s="2" t="s">
        <v>25</v>
      </c>
      <c r="Q173" s="1" t="s">
        <v>26</v>
      </c>
      <c r="R173" s="7">
        <v>73277.119999999995</v>
      </c>
      <c r="S173" s="7">
        <v>5234.08</v>
      </c>
      <c r="T173" s="7">
        <v>3366.99</v>
      </c>
      <c r="U173" s="7">
        <v>1032.3800000000001</v>
      </c>
      <c r="V173" s="7">
        <v>834.71</v>
      </c>
      <c r="W173" s="10">
        <v>121.791</v>
      </c>
      <c r="X173" s="10">
        <v>238.24940000000001</v>
      </c>
    </row>
    <row r="174" spans="1:24" x14ac:dyDescent="0.25">
      <c r="C174" s="1" t="s">
        <v>1681</v>
      </c>
      <c r="D174" s="1" t="s">
        <v>1646</v>
      </c>
      <c r="E174" s="1" t="s">
        <v>1626</v>
      </c>
      <c r="F174" s="1" t="s">
        <v>1698</v>
      </c>
      <c r="G174" s="1" t="s">
        <v>1643</v>
      </c>
      <c r="H174" s="1" t="s">
        <v>1692</v>
      </c>
      <c r="I174" s="1" t="s">
        <v>22</v>
      </c>
      <c r="J174" s="1" t="s">
        <v>32</v>
      </c>
      <c r="K174" s="1" t="s">
        <v>33</v>
      </c>
      <c r="L174" s="1" t="s">
        <v>1693</v>
      </c>
      <c r="M174" s="2">
        <v>45155</v>
      </c>
      <c r="N174" s="2" t="s">
        <v>25</v>
      </c>
      <c r="O174" s="2" t="s">
        <v>25</v>
      </c>
      <c r="P174" s="2" t="s">
        <v>25</v>
      </c>
      <c r="Q174" s="1" t="s">
        <v>26</v>
      </c>
      <c r="R174" s="7">
        <v>84650.52</v>
      </c>
      <c r="S174" s="7">
        <v>7054.21</v>
      </c>
      <c r="T174" s="7">
        <v>7054.21</v>
      </c>
      <c r="U174" s="7">
        <v>0</v>
      </c>
      <c r="V174" s="7">
        <v>0</v>
      </c>
      <c r="W174" s="10">
        <v>242.6866</v>
      </c>
      <c r="X174" s="10">
        <v>172.86510000000001</v>
      </c>
    </row>
    <row r="175" spans="1:24" x14ac:dyDescent="0.25">
      <c r="A175" t="s">
        <v>167</v>
      </c>
      <c r="B175" t="s">
        <v>711</v>
      </c>
      <c r="C175" s="1" t="s">
        <v>712</v>
      </c>
      <c r="D175" s="1" t="s">
        <v>1646</v>
      </c>
      <c r="E175" s="1" t="s">
        <v>713</v>
      </c>
      <c r="F175" s="1" t="s">
        <v>1696</v>
      </c>
      <c r="G175" s="1" t="s">
        <v>1585</v>
      </c>
      <c r="H175" s="1" t="s">
        <v>259</v>
      </c>
      <c r="I175" s="1" t="s">
        <v>22</v>
      </c>
      <c r="J175" s="1" t="s">
        <v>41</v>
      </c>
      <c r="K175" s="1" t="s">
        <v>42</v>
      </c>
      <c r="L175" s="1" t="s">
        <v>41</v>
      </c>
      <c r="M175" s="2">
        <v>45155</v>
      </c>
      <c r="N175" s="2" t="s">
        <v>25</v>
      </c>
      <c r="O175" s="2" t="s">
        <v>25</v>
      </c>
      <c r="P175" s="2" t="s">
        <v>25</v>
      </c>
      <c r="Q175" s="1" t="s">
        <v>26</v>
      </c>
      <c r="R175" s="7">
        <v>129905.02</v>
      </c>
      <c r="S175" s="7">
        <v>9278.93</v>
      </c>
      <c r="T175" s="7">
        <v>3366.99</v>
      </c>
      <c r="U175" s="7">
        <v>2162.85</v>
      </c>
      <c r="V175" s="7">
        <v>3749.09</v>
      </c>
      <c r="W175" s="10">
        <v>333.1343</v>
      </c>
      <c r="X175" s="10">
        <v>161.22139999999999</v>
      </c>
    </row>
    <row r="176" spans="1:24" x14ac:dyDescent="0.25">
      <c r="A176" t="s">
        <v>714</v>
      </c>
      <c r="B176" t="s">
        <v>715</v>
      </c>
      <c r="C176" s="1" t="s">
        <v>716</v>
      </c>
      <c r="D176" s="1" t="s">
        <v>1646</v>
      </c>
      <c r="E176" s="1" t="s">
        <v>717</v>
      </c>
      <c r="F176" s="1" t="s">
        <v>1696</v>
      </c>
      <c r="G176" s="1" t="s">
        <v>1585</v>
      </c>
      <c r="H176" s="1" t="s">
        <v>462</v>
      </c>
      <c r="I176" s="1" t="s">
        <v>22</v>
      </c>
      <c r="J176" s="1" t="s">
        <v>23</v>
      </c>
      <c r="K176" s="1" t="s">
        <v>24</v>
      </c>
      <c r="L176" s="1" t="s">
        <v>23</v>
      </c>
      <c r="M176" s="2">
        <v>45155</v>
      </c>
      <c r="N176" s="2" t="s">
        <v>25</v>
      </c>
      <c r="O176" s="2" t="s">
        <v>25</v>
      </c>
      <c r="P176" s="2" t="s">
        <v>25</v>
      </c>
      <c r="Q176" s="1" t="s">
        <v>26</v>
      </c>
      <c r="R176" s="7">
        <v>94946.32</v>
      </c>
      <c r="S176" s="7">
        <v>6781.88</v>
      </c>
      <c r="T176" s="7">
        <v>3366.99</v>
      </c>
      <c r="U176" s="7">
        <v>2162.85</v>
      </c>
      <c r="V176" s="7">
        <v>1252.04</v>
      </c>
      <c r="W176" s="10">
        <v>354.62689999999998</v>
      </c>
      <c r="X176" s="10">
        <v>189.88300000000001</v>
      </c>
    </row>
    <row r="177" spans="1:24" x14ac:dyDescent="0.25">
      <c r="A177" t="s">
        <v>349</v>
      </c>
      <c r="B177" t="s">
        <v>718</v>
      </c>
      <c r="C177" s="1" t="s">
        <v>719</v>
      </c>
      <c r="D177" s="1" t="s">
        <v>1646</v>
      </c>
      <c r="E177" s="1" t="s">
        <v>720</v>
      </c>
      <c r="F177" s="1" t="s">
        <v>1696</v>
      </c>
      <c r="G177" s="1" t="s">
        <v>1585</v>
      </c>
      <c r="H177" s="1" t="s">
        <v>462</v>
      </c>
      <c r="I177" s="1" t="s">
        <v>22</v>
      </c>
      <c r="J177" s="1" t="s">
        <v>32</v>
      </c>
      <c r="K177" s="1" t="s">
        <v>33</v>
      </c>
      <c r="L177" s="1" t="s">
        <v>32</v>
      </c>
      <c r="M177" s="2">
        <v>45155</v>
      </c>
      <c r="N177" s="2">
        <v>45258</v>
      </c>
      <c r="O177" s="2" t="s">
        <v>25</v>
      </c>
      <c r="P177" s="1" t="s">
        <v>845</v>
      </c>
      <c r="Q177" s="1" t="s">
        <v>35</v>
      </c>
      <c r="R177" s="7">
        <v>72247.7</v>
      </c>
      <c r="S177" s="7">
        <v>5160.55</v>
      </c>
      <c r="T177" s="7">
        <v>3142.14</v>
      </c>
      <c r="U177" s="7">
        <v>2018.41</v>
      </c>
      <c r="V177" s="7">
        <v>0</v>
      </c>
      <c r="W177" s="10">
        <v>76.119399999999999</v>
      </c>
      <c r="X177" s="10">
        <v>128.97710000000001</v>
      </c>
    </row>
    <row r="178" spans="1:24" x14ac:dyDescent="0.25">
      <c r="A178" t="s">
        <v>721</v>
      </c>
      <c r="B178" t="s">
        <v>722</v>
      </c>
      <c r="C178" s="1" t="s">
        <v>723</v>
      </c>
      <c r="D178" s="1" t="s">
        <v>1647</v>
      </c>
      <c r="E178" s="1" t="s">
        <v>724</v>
      </c>
      <c r="F178" s="1" t="s">
        <v>1696</v>
      </c>
      <c r="G178" s="1" t="s">
        <v>1585</v>
      </c>
      <c r="H178" s="1" t="s">
        <v>194</v>
      </c>
      <c r="I178" s="1" t="s">
        <v>22</v>
      </c>
      <c r="J178" s="1" t="s">
        <v>32</v>
      </c>
      <c r="K178" s="1" t="s">
        <v>33</v>
      </c>
      <c r="L178" s="1" t="s">
        <v>32</v>
      </c>
      <c r="M178" s="2">
        <v>45155</v>
      </c>
      <c r="N178" s="2" t="s">
        <v>25</v>
      </c>
      <c r="O178" s="2" t="s">
        <v>25</v>
      </c>
      <c r="P178" s="2" t="s">
        <v>25</v>
      </c>
      <c r="Q178" s="1" t="s">
        <v>26</v>
      </c>
      <c r="R178" s="7">
        <v>94946.32</v>
      </c>
      <c r="S178" s="7">
        <v>6781.88</v>
      </c>
      <c r="T178" s="7">
        <v>3366.99</v>
      </c>
      <c r="U178" s="7">
        <v>2162.85</v>
      </c>
      <c r="V178" s="7">
        <v>1252.04</v>
      </c>
      <c r="W178" s="10">
        <v>105.6716</v>
      </c>
      <c r="X178" s="10">
        <v>183.61320000000001</v>
      </c>
    </row>
    <row r="179" spans="1:24" x14ac:dyDescent="0.25">
      <c r="A179" t="s">
        <v>725</v>
      </c>
      <c r="B179" t="s">
        <v>726</v>
      </c>
      <c r="C179" s="1" t="s">
        <v>727</v>
      </c>
      <c r="D179" s="1" t="s">
        <v>1646</v>
      </c>
      <c r="E179" s="1" t="s">
        <v>728</v>
      </c>
      <c r="F179" s="1" t="s">
        <v>1696</v>
      </c>
      <c r="G179" s="1" t="s">
        <v>1585</v>
      </c>
      <c r="H179" s="1" t="s">
        <v>381</v>
      </c>
      <c r="I179" s="1" t="s">
        <v>22</v>
      </c>
      <c r="J179" s="1" t="s">
        <v>23</v>
      </c>
      <c r="K179" s="1" t="s">
        <v>24</v>
      </c>
      <c r="L179" s="1" t="s">
        <v>23</v>
      </c>
      <c r="M179" s="2">
        <v>45155</v>
      </c>
      <c r="N179" s="2" t="s">
        <v>25</v>
      </c>
      <c r="O179" s="2" t="s">
        <v>25</v>
      </c>
      <c r="P179" s="2" t="s">
        <v>25</v>
      </c>
      <c r="Q179" s="1" t="s">
        <v>26</v>
      </c>
      <c r="R179" s="7">
        <v>94946.32</v>
      </c>
      <c r="S179" s="7">
        <v>6781.88</v>
      </c>
      <c r="T179" s="7">
        <v>3366.99</v>
      </c>
      <c r="U179" s="7">
        <v>2162.85</v>
      </c>
      <c r="V179" s="7">
        <v>1252.04</v>
      </c>
      <c r="W179" s="10">
        <v>377.91039999999998</v>
      </c>
      <c r="X179" s="10">
        <v>99.419799999999995</v>
      </c>
    </row>
    <row r="180" spans="1:24" x14ac:dyDescent="0.25">
      <c r="A180" t="s">
        <v>162</v>
      </c>
      <c r="B180" t="s">
        <v>729</v>
      </c>
      <c r="C180" s="1" t="s">
        <v>730</v>
      </c>
      <c r="D180" s="1" t="s">
        <v>1646</v>
      </c>
      <c r="E180" s="1" t="s">
        <v>731</v>
      </c>
      <c r="F180" s="1" t="s">
        <v>1696</v>
      </c>
      <c r="G180" s="1" t="s">
        <v>1585</v>
      </c>
      <c r="H180" s="1" t="s">
        <v>447</v>
      </c>
      <c r="I180" s="1" t="s">
        <v>22</v>
      </c>
      <c r="J180" s="1" t="s">
        <v>23</v>
      </c>
      <c r="K180" s="1" t="s">
        <v>24</v>
      </c>
      <c r="L180" s="1" t="s">
        <v>23</v>
      </c>
      <c r="M180" s="2">
        <v>45155</v>
      </c>
      <c r="N180" s="2" t="s">
        <v>25</v>
      </c>
      <c r="O180" s="2" t="s">
        <v>25</v>
      </c>
      <c r="P180" s="2" t="s">
        <v>25</v>
      </c>
      <c r="Q180" s="1" t="s">
        <v>26</v>
      </c>
      <c r="R180" s="7">
        <v>101392.76</v>
      </c>
      <c r="S180" s="7">
        <v>7242.34</v>
      </c>
      <c r="T180" s="7">
        <v>3366.99</v>
      </c>
      <c r="U180" s="7">
        <v>2162.85</v>
      </c>
      <c r="V180" s="7">
        <v>1712.5</v>
      </c>
      <c r="W180" s="10">
        <v>405.67160000000001</v>
      </c>
      <c r="X180" s="10">
        <v>226.60560000000001</v>
      </c>
    </row>
    <row r="181" spans="1:24" x14ac:dyDescent="0.25">
      <c r="A181" t="s">
        <v>732</v>
      </c>
      <c r="B181" t="s">
        <v>733</v>
      </c>
      <c r="C181" s="1" t="s">
        <v>734</v>
      </c>
      <c r="D181" s="1" t="s">
        <v>1646</v>
      </c>
      <c r="E181" s="1" t="s">
        <v>735</v>
      </c>
      <c r="F181" s="1" t="s">
        <v>1696</v>
      </c>
      <c r="G181" s="1" t="s">
        <v>1585</v>
      </c>
      <c r="H181" s="1" t="s">
        <v>40</v>
      </c>
      <c r="I181" s="1" t="s">
        <v>22</v>
      </c>
      <c r="J181" s="1" t="s">
        <v>32</v>
      </c>
      <c r="K181" s="1" t="s">
        <v>33</v>
      </c>
      <c r="L181" s="1" t="s">
        <v>32</v>
      </c>
      <c r="M181" s="2">
        <v>45443</v>
      </c>
      <c r="N181" s="2" t="s">
        <v>25</v>
      </c>
      <c r="O181" s="2" t="s">
        <v>25</v>
      </c>
      <c r="P181" s="2" t="s">
        <v>25</v>
      </c>
      <c r="Q181" s="1" t="s">
        <v>26</v>
      </c>
      <c r="R181" s="7">
        <v>85566.18</v>
      </c>
      <c r="S181" s="7">
        <v>6111.87</v>
      </c>
      <c r="T181" s="7">
        <v>3366.99</v>
      </c>
      <c r="U181" s="7">
        <v>1032.3800000000001</v>
      </c>
      <c r="V181" s="7">
        <v>1712.5</v>
      </c>
      <c r="W181" s="10">
        <v>66.268699999999995</v>
      </c>
      <c r="X181" s="10">
        <v>147.78630000000001</v>
      </c>
    </row>
    <row r="182" spans="1:24" x14ac:dyDescent="0.25">
      <c r="A182" t="s">
        <v>625</v>
      </c>
      <c r="B182" t="s">
        <v>736</v>
      </c>
      <c r="C182" s="1" t="s">
        <v>737</v>
      </c>
      <c r="D182" s="1" t="s">
        <v>1646</v>
      </c>
      <c r="E182" s="1" t="s">
        <v>738</v>
      </c>
      <c r="F182" s="1" t="s">
        <v>1696</v>
      </c>
      <c r="G182" s="1" t="s">
        <v>1585</v>
      </c>
      <c r="H182" s="1" t="s">
        <v>353</v>
      </c>
      <c r="I182" s="1" t="s">
        <v>22</v>
      </c>
      <c r="J182" s="1" t="s">
        <v>41</v>
      </c>
      <c r="K182" s="1" t="s">
        <v>42</v>
      </c>
      <c r="L182" s="1" t="s">
        <v>41</v>
      </c>
      <c r="M182" s="2">
        <v>45155</v>
      </c>
      <c r="N182" s="2" t="s">
        <v>25</v>
      </c>
      <c r="O182" s="2" t="s">
        <v>25</v>
      </c>
      <c r="P182" s="2" t="s">
        <v>25</v>
      </c>
      <c r="Q182" s="1" t="s">
        <v>26</v>
      </c>
      <c r="R182" s="7">
        <v>94946.32</v>
      </c>
      <c r="S182" s="7">
        <v>6781.88</v>
      </c>
      <c r="T182" s="7">
        <v>3366.99</v>
      </c>
      <c r="U182" s="7">
        <v>2162.85</v>
      </c>
      <c r="V182" s="7">
        <v>1252.04</v>
      </c>
      <c r="W182" s="10">
        <v>288.35820000000001</v>
      </c>
      <c r="X182" s="10">
        <v>54.636099999999999</v>
      </c>
    </row>
    <row r="183" spans="1:24" x14ac:dyDescent="0.25">
      <c r="A183" t="s">
        <v>739</v>
      </c>
      <c r="B183" t="s">
        <v>740</v>
      </c>
      <c r="C183" s="1" t="s">
        <v>741</v>
      </c>
      <c r="D183" s="1" t="s">
        <v>1647</v>
      </c>
      <c r="E183" s="1" t="s">
        <v>742</v>
      </c>
      <c r="F183" s="1" t="s">
        <v>1696</v>
      </c>
      <c r="G183" s="1" t="s">
        <v>1585</v>
      </c>
      <c r="H183" s="1" t="s">
        <v>31</v>
      </c>
      <c r="I183" s="1" t="s">
        <v>22</v>
      </c>
      <c r="J183" s="1" t="s">
        <v>23</v>
      </c>
      <c r="K183" s="1" t="s">
        <v>24</v>
      </c>
      <c r="L183" s="1" t="s">
        <v>23</v>
      </c>
      <c r="M183" s="2">
        <v>45155</v>
      </c>
      <c r="N183" s="2" t="s">
        <v>25</v>
      </c>
      <c r="O183" s="2" t="s">
        <v>25</v>
      </c>
      <c r="P183" s="2" t="s">
        <v>25</v>
      </c>
      <c r="Q183" s="1" t="s">
        <v>26</v>
      </c>
      <c r="R183" s="7">
        <v>94946.32</v>
      </c>
      <c r="S183" s="7">
        <v>6781.88</v>
      </c>
      <c r="T183" s="7">
        <v>3366.99</v>
      </c>
      <c r="U183" s="7">
        <v>2162.85</v>
      </c>
      <c r="V183" s="7">
        <v>1252.04</v>
      </c>
      <c r="W183" s="10">
        <v>394.0299</v>
      </c>
      <c r="X183" s="10">
        <v>114.6463</v>
      </c>
    </row>
    <row r="184" spans="1:24" x14ac:dyDescent="0.25">
      <c r="A184" t="s">
        <v>743</v>
      </c>
      <c r="B184" t="s">
        <v>744</v>
      </c>
      <c r="C184" s="1" t="s">
        <v>745</v>
      </c>
      <c r="D184" s="1" t="s">
        <v>1646</v>
      </c>
      <c r="E184" s="1" t="s">
        <v>746</v>
      </c>
      <c r="F184" s="1" t="s">
        <v>1696</v>
      </c>
      <c r="G184" s="1" t="s">
        <v>1585</v>
      </c>
      <c r="H184" s="1" t="s">
        <v>122</v>
      </c>
      <c r="I184" s="1" t="s">
        <v>22</v>
      </c>
      <c r="J184" s="1" t="s">
        <v>23</v>
      </c>
      <c r="K184" s="1" t="s">
        <v>24</v>
      </c>
      <c r="L184" s="1" t="s">
        <v>23</v>
      </c>
      <c r="M184" s="2">
        <v>45155</v>
      </c>
      <c r="N184" s="2">
        <v>45450</v>
      </c>
      <c r="O184" s="2" t="s">
        <v>25</v>
      </c>
      <c r="P184" s="1" t="s">
        <v>1545</v>
      </c>
      <c r="Q184" s="1" t="s">
        <v>35</v>
      </c>
      <c r="R184" s="7">
        <v>51161.599999999999</v>
      </c>
      <c r="S184" s="7">
        <v>3654.4</v>
      </c>
      <c r="T184" s="7">
        <v>2921.82</v>
      </c>
      <c r="U184" s="7">
        <v>0</v>
      </c>
      <c r="V184" s="7">
        <v>732.58</v>
      </c>
      <c r="W184" s="10">
        <v>317.01490000000001</v>
      </c>
      <c r="X184" s="10">
        <v>15.2265</v>
      </c>
    </row>
    <row r="185" spans="1:24" x14ac:dyDescent="0.25">
      <c r="A185" t="s">
        <v>747</v>
      </c>
      <c r="B185" t="s">
        <v>748</v>
      </c>
      <c r="C185" s="1" t="s">
        <v>749</v>
      </c>
      <c r="D185" s="1" t="s">
        <v>1646</v>
      </c>
      <c r="E185" s="1" t="s">
        <v>750</v>
      </c>
      <c r="F185" s="1" t="s">
        <v>1696</v>
      </c>
      <c r="G185" s="1" t="s">
        <v>1585</v>
      </c>
      <c r="H185" s="1" t="s">
        <v>751</v>
      </c>
      <c r="I185" s="1" t="s">
        <v>22</v>
      </c>
      <c r="J185" s="1" t="s">
        <v>23</v>
      </c>
      <c r="K185" s="1" t="s">
        <v>24</v>
      </c>
      <c r="L185" s="1" t="s">
        <v>23</v>
      </c>
      <c r="M185" s="2">
        <v>45155</v>
      </c>
      <c r="N185" s="2" t="s">
        <v>25</v>
      </c>
      <c r="O185" s="2" t="s">
        <v>25</v>
      </c>
      <c r="P185" s="2" t="s">
        <v>25</v>
      </c>
      <c r="Q185" s="1" t="s">
        <v>26</v>
      </c>
      <c r="R185" s="7">
        <v>129905.02</v>
      </c>
      <c r="S185" s="7">
        <v>9278.93</v>
      </c>
      <c r="T185" s="7">
        <v>3366.99</v>
      </c>
      <c r="U185" s="7">
        <v>2162.85</v>
      </c>
      <c r="V185" s="7">
        <v>3749.09</v>
      </c>
      <c r="W185" s="10">
        <v>334.92540000000002</v>
      </c>
      <c r="X185" s="10">
        <v>226.60560000000001</v>
      </c>
    </row>
    <row r="186" spans="1:24" x14ac:dyDescent="0.25">
      <c r="A186" t="s">
        <v>200</v>
      </c>
      <c r="B186" t="s">
        <v>752</v>
      </c>
      <c r="C186" s="1" t="s">
        <v>753</v>
      </c>
      <c r="D186" s="1" t="s">
        <v>1646</v>
      </c>
      <c r="E186" s="1" t="s">
        <v>754</v>
      </c>
      <c r="F186" s="1" t="s">
        <v>1696</v>
      </c>
      <c r="G186" s="1" t="s">
        <v>1585</v>
      </c>
      <c r="H186" s="1" t="s">
        <v>31</v>
      </c>
      <c r="I186" s="1" t="s">
        <v>22</v>
      </c>
      <c r="J186" s="1" t="s">
        <v>125</v>
      </c>
      <c r="K186" s="1" t="s">
        <v>124</v>
      </c>
      <c r="L186" s="1" t="s">
        <v>125</v>
      </c>
      <c r="M186" s="2">
        <v>45155</v>
      </c>
      <c r="N186" s="2" t="s">
        <v>25</v>
      </c>
      <c r="O186" s="2" t="s">
        <v>25</v>
      </c>
      <c r="P186" s="2" t="s">
        <v>25</v>
      </c>
      <c r="Q186" s="1" t="s">
        <v>26</v>
      </c>
      <c r="R186" s="7">
        <v>129905.02</v>
      </c>
      <c r="S186" s="7">
        <v>9278.93</v>
      </c>
      <c r="T186" s="7">
        <v>3366.99</v>
      </c>
      <c r="U186" s="7">
        <v>2162.85</v>
      </c>
      <c r="V186" s="7">
        <v>3749.09</v>
      </c>
      <c r="W186" s="10">
        <v>232.83580000000001</v>
      </c>
      <c r="X186" s="10">
        <v>152.2646</v>
      </c>
    </row>
    <row r="187" spans="1:24" x14ac:dyDescent="0.25">
      <c r="A187" t="s">
        <v>755</v>
      </c>
      <c r="B187" t="s">
        <v>756</v>
      </c>
      <c r="C187" s="1" t="s">
        <v>757</v>
      </c>
      <c r="D187" s="1" t="s">
        <v>1646</v>
      </c>
      <c r="E187" s="1" t="s">
        <v>758</v>
      </c>
      <c r="F187" s="1" t="s">
        <v>1696</v>
      </c>
      <c r="G187" s="1" t="s">
        <v>1585</v>
      </c>
      <c r="H187" s="1" t="s">
        <v>67</v>
      </c>
      <c r="I187" s="1" t="s">
        <v>22</v>
      </c>
      <c r="J187" s="1" t="s">
        <v>32</v>
      </c>
      <c r="K187" s="1" t="s">
        <v>33</v>
      </c>
      <c r="L187" s="1" t="s">
        <v>32</v>
      </c>
      <c r="M187" s="2">
        <v>45155</v>
      </c>
      <c r="N187" s="2">
        <v>45266</v>
      </c>
      <c r="O187" s="2" t="s">
        <v>25</v>
      </c>
      <c r="P187" s="1" t="s">
        <v>1473</v>
      </c>
      <c r="Q187" s="1" t="s">
        <v>35</v>
      </c>
      <c r="R187" s="7">
        <v>72247.7</v>
      </c>
      <c r="S187" s="7">
        <v>5160.55</v>
      </c>
      <c r="T187" s="7">
        <v>3142.14</v>
      </c>
      <c r="U187" s="7">
        <v>2018.41</v>
      </c>
      <c r="V187" s="7">
        <v>0</v>
      </c>
      <c r="W187" s="10">
        <v>52.835799999999999</v>
      </c>
      <c r="X187" s="10">
        <v>302.73790000000002</v>
      </c>
    </row>
    <row r="188" spans="1:24" x14ac:dyDescent="0.25">
      <c r="A188" t="s">
        <v>759</v>
      </c>
      <c r="B188" t="s">
        <v>760</v>
      </c>
      <c r="C188" s="1" t="s">
        <v>761</v>
      </c>
      <c r="D188" s="1" t="s">
        <v>1647</v>
      </c>
      <c r="E188" s="1" t="s">
        <v>762</v>
      </c>
      <c r="F188" s="1" t="s">
        <v>1696</v>
      </c>
      <c r="G188" s="1" t="s">
        <v>1585</v>
      </c>
      <c r="H188" s="1" t="s">
        <v>763</v>
      </c>
      <c r="I188" s="1" t="s">
        <v>22</v>
      </c>
      <c r="J188" s="1" t="s">
        <v>32</v>
      </c>
      <c r="K188" s="1" t="s">
        <v>33</v>
      </c>
      <c r="L188" s="1" t="s">
        <v>32</v>
      </c>
      <c r="M188" s="2">
        <v>45155</v>
      </c>
      <c r="N188" s="2" t="s">
        <v>25</v>
      </c>
      <c r="O188" s="2" t="s">
        <v>25</v>
      </c>
      <c r="P188" s="2" t="s">
        <v>25</v>
      </c>
      <c r="Q188" s="1" t="s">
        <v>26</v>
      </c>
      <c r="R188" s="7">
        <v>94946.32</v>
      </c>
      <c r="S188" s="7">
        <v>6781.88</v>
      </c>
      <c r="T188" s="7">
        <v>3366.99</v>
      </c>
      <c r="U188" s="7">
        <v>2162.85</v>
      </c>
      <c r="V188" s="7">
        <v>1252.04</v>
      </c>
      <c r="W188" s="10">
        <v>6.2686999999999999</v>
      </c>
      <c r="X188" s="10">
        <v>318.86009999999999</v>
      </c>
    </row>
    <row r="189" spans="1:24" x14ac:dyDescent="0.25">
      <c r="A189" t="s">
        <v>764</v>
      </c>
      <c r="B189" t="s">
        <v>765</v>
      </c>
      <c r="C189" s="1" t="s">
        <v>766</v>
      </c>
      <c r="D189" s="1" t="s">
        <v>1646</v>
      </c>
      <c r="E189" s="1" t="s">
        <v>767</v>
      </c>
      <c r="F189" s="1" t="s">
        <v>1696</v>
      </c>
      <c r="G189" s="1" t="s">
        <v>1585</v>
      </c>
      <c r="H189" s="1" t="s">
        <v>61</v>
      </c>
      <c r="I189" s="1" t="s">
        <v>22</v>
      </c>
      <c r="J189" s="1" t="s">
        <v>80</v>
      </c>
      <c r="K189" s="1" t="s">
        <v>81</v>
      </c>
      <c r="L189" s="1" t="s">
        <v>80</v>
      </c>
      <c r="M189" s="2">
        <v>45155</v>
      </c>
      <c r="N189" s="2" t="s">
        <v>25</v>
      </c>
      <c r="O189" s="2" t="s">
        <v>25</v>
      </c>
      <c r="P189" s="2" t="s">
        <v>25</v>
      </c>
      <c r="Q189" s="1" t="s">
        <v>26</v>
      </c>
      <c r="R189" s="7">
        <v>94946.32</v>
      </c>
      <c r="S189" s="7">
        <v>6781.88</v>
      </c>
      <c r="T189" s="7">
        <v>3366.99</v>
      </c>
      <c r="U189" s="7">
        <v>2162.85</v>
      </c>
      <c r="V189" s="7">
        <v>1252.04</v>
      </c>
      <c r="W189" s="10">
        <v>174.62690000000001</v>
      </c>
      <c r="X189" s="10">
        <v>60.905900000000003</v>
      </c>
    </row>
    <row r="190" spans="1:24" x14ac:dyDescent="0.25">
      <c r="A190" t="s">
        <v>768</v>
      </c>
      <c r="B190" t="s">
        <v>769</v>
      </c>
      <c r="C190" s="1" t="s">
        <v>770</v>
      </c>
      <c r="D190" s="1" t="s">
        <v>1647</v>
      </c>
      <c r="E190" s="1" t="s">
        <v>771</v>
      </c>
      <c r="F190" s="1" t="s">
        <v>1696</v>
      </c>
      <c r="G190" s="1" t="s">
        <v>1585</v>
      </c>
      <c r="H190" s="1" t="s">
        <v>40</v>
      </c>
      <c r="I190" s="1" t="s">
        <v>22</v>
      </c>
      <c r="J190" s="1" t="s">
        <v>32</v>
      </c>
      <c r="K190" s="1" t="s">
        <v>33</v>
      </c>
      <c r="L190" s="1" t="s">
        <v>32</v>
      </c>
      <c r="M190" s="2">
        <v>45265</v>
      </c>
      <c r="N190" s="2">
        <v>45464</v>
      </c>
      <c r="O190" s="1" t="s">
        <v>1273</v>
      </c>
      <c r="P190" s="1" t="s">
        <v>1377</v>
      </c>
      <c r="Q190" s="1" t="s">
        <v>35</v>
      </c>
      <c r="R190" s="7">
        <v>57477.98</v>
      </c>
      <c r="S190" s="7">
        <v>4105.57</v>
      </c>
      <c r="T190" s="7">
        <v>3142.14</v>
      </c>
      <c r="U190" s="7">
        <v>963.43</v>
      </c>
      <c r="V190" s="7">
        <v>0</v>
      </c>
      <c r="W190" s="10">
        <v>41.194000000000003</v>
      </c>
      <c r="X190" s="10">
        <v>99.419799999999995</v>
      </c>
    </row>
    <row r="191" spans="1:24" x14ac:dyDescent="0.25">
      <c r="A191" t="s">
        <v>772</v>
      </c>
      <c r="B191" t="s">
        <v>773</v>
      </c>
      <c r="C191" s="1" t="s">
        <v>774</v>
      </c>
      <c r="D191" s="1" t="s">
        <v>1646</v>
      </c>
      <c r="E191" s="1" t="s">
        <v>775</v>
      </c>
      <c r="F191" s="1" t="s">
        <v>1696</v>
      </c>
      <c r="G191" s="1" t="s">
        <v>1585</v>
      </c>
      <c r="H191" s="1" t="s">
        <v>67</v>
      </c>
      <c r="I191" s="1" t="s">
        <v>22</v>
      </c>
      <c r="J191" s="1" t="s">
        <v>32</v>
      </c>
      <c r="K191" s="1" t="s">
        <v>33</v>
      </c>
      <c r="L191" s="1" t="s">
        <v>32</v>
      </c>
      <c r="M191" s="2">
        <v>45155</v>
      </c>
      <c r="N191" s="2" t="s">
        <v>25</v>
      </c>
      <c r="O191" s="2" t="s">
        <v>25</v>
      </c>
      <c r="P191" s="2" t="s">
        <v>25</v>
      </c>
      <c r="Q191" s="1" t="s">
        <v>26</v>
      </c>
      <c r="R191" s="7">
        <v>94946.32</v>
      </c>
      <c r="S191" s="7">
        <v>6781.88</v>
      </c>
      <c r="T191" s="7">
        <v>3366.99</v>
      </c>
      <c r="U191" s="7">
        <v>2162.85</v>
      </c>
      <c r="V191" s="7">
        <v>1252.04</v>
      </c>
      <c r="W191" s="10">
        <v>52.835799999999999</v>
      </c>
      <c r="X191" s="10">
        <v>291.09410000000003</v>
      </c>
    </row>
    <row r="192" spans="1:24" x14ac:dyDescent="0.25">
      <c r="A192" t="s">
        <v>135</v>
      </c>
      <c r="B192" t="s">
        <v>776</v>
      </c>
      <c r="C192" s="1" t="s">
        <v>777</v>
      </c>
      <c r="D192" s="1" t="s">
        <v>1647</v>
      </c>
      <c r="E192" s="1" t="s">
        <v>778</v>
      </c>
      <c r="F192" s="1" t="s">
        <v>1696</v>
      </c>
      <c r="G192" s="1" t="s">
        <v>1585</v>
      </c>
      <c r="H192" s="1" t="s">
        <v>779</v>
      </c>
      <c r="I192" s="1" t="s">
        <v>22</v>
      </c>
      <c r="J192" s="1" t="s">
        <v>23</v>
      </c>
      <c r="K192" s="1" t="s">
        <v>24</v>
      </c>
      <c r="L192" s="1" t="s">
        <v>23</v>
      </c>
      <c r="M192" s="2">
        <v>45155</v>
      </c>
      <c r="N192" s="2" t="s">
        <v>25</v>
      </c>
      <c r="O192" s="2" t="s">
        <v>25</v>
      </c>
      <c r="P192" s="2" t="s">
        <v>25</v>
      </c>
      <c r="Q192" s="1" t="s">
        <v>26</v>
      </c>
      <c r="R192" s="7">
        <v>94946.32</v>
      </c>
      <c r="S192" s="7">
        <v>6781.88</v>
      </c>
      <c r="T192" s="7">
        <v>3366.99</v>
      </c>
      <c r="U192" s="7">
        <v>2162.85</v>
      </c>
      <c r="V192" s="7">
        <v>1252.04</v>
      </c>
      <c r="W192" s="10">
        <v>452.23880000000003</v>
      </c>
      <c r="X192" s="10">
        <v>334.98219999999998</v>
      </c>
    </row>
    <row r="193" spans="1:24" x14ac:dyDescent="0.25">
      <c r="A193" t="s">
        <v>612</v>
      </c>
      <c r="B193" t="s">
        <v>780</v>
      </c>
      <c r="C193" s="1" t="s">
        <v>781</v>
      </c>
      <c r="D193" s="1" t="s">
        <v>1647</v>
      </c>
      <c r="E193" s="1" t="s">
        <v>782</v>
      </c>
      <c r="F193" s="1" t="s">
        <v>1696</v>
      </c>
      <c r="G193" s="1" t="s">
        <v>1585</v>
      </c>
      <c r="H193" s="1" t="s">
        <v>285</v>
      </c>
      <c r="I193" s="1" t="s">
        <v>22</v>
      </c>
      <c r="J193" s="1" t="s">
        <v>32</v>
      </c>
      <c r="K193" s="1" t="s">
        <v>33</v>
      </c>
      <c r="L193" s="1" t="s">
        <v>32</v>
      </c>
      <c r="M193" s="2">
        <v>45902</v>
      </c>
      <c r="N193" s="2" t="s">
        <v>25</v>
      </c>
      <c r="O193" s="1" t="s">
        <v>852</v>
      </c>
      <c r="P193" s="2" t="s">
        <v>25</v>
      </c>
      <c r="Q193" s="1" t="s">
        <v>26</v>
      </c>
      <c r="R193" s="7">
        <v>89103.7</v>
      </c>
      <c r="S193" s="7">
        <v>6364.55</v>
      </c>
      <c r="T193" s="7">
        <v>3366.99</v>
      </c>
      <c r="U193" s="7">
        <v>2162.85</v>
      </c>
      <c r="V193" s="7">
        <v>834.71</v>
      </c>
      <c r="W193" s="10">
        <v>5.3731</v>
      </c>
      <c r="X193" s="10">
        <v>300.94659999999999</v>
      </c>
    </row>
    <row r="194" spans="1:24" x14ac:dyDescent="0.25">
      <c r="A194" t="s">
        <v>783</v>
      </c>
      <c r="B194" t="s">
        <v>784</v>
      </c>
      <c r="C194" s="1" t="s">
        <v>785</v>
      </c>
      <c r="D194" s="1" t="s">
        <v>1647</v>
      </c>
      <c r="E194" s="1" t="s">
        <v>786</v>
      </c>
      <c r="F194" s="1" t="s">
        <v>1696</v>
      </c>
      <c r="G194" s="1" t="s">
        <v>1585</v>
      </c>
      <c r="H194" s="1" t="s">
        <v>67</v>
      </c>
      <c r="I194" s="1" t="s">
        <v>22</v>
      </c>
      <c r="J194" s="1" t="s">
        <v>123</v>
      </c>
      <c r="K194" s="1" t="s">
        <v>149</v>
      </c>
      <c r="L194" s="1" t="s">
        <v>123</v>
      </c>
      <c r="M194" s="2">
        <v>45155</v>
      </c>
      <c r="N194" s="2" t="s">
        <v>25</v>
      </c>
      <c r="O194" s="2" t="s">
        <v>25</v>
      </c>
      <c r="P194" s="2" t="s">
        <v>25</v>
      </c>
      <c r="Q194" s="1" t="s">
        <v>26</v>
      </c>
      <c r="R194" s="7">
        <v>129905.02</v>
      </c>
      <c r="S194" s="7">
        <v>9278.93</v>
      </c>
      <c r="T194" s="7">
        <v>3366.99</v>
      </c>
      <c r="U194" s="7">
        <v>2162.85</v>
      </c>
      <c r="V194" s="7">
        <v>3749.09</v>
      </c>
      <c r="W194" s="10">
        <v>300.89550000000003</v>
      </c>
      <c r="X194" s="10">
        <v>111.9593</v>
      </c>
    </row>
    <row r="195" spans="1:24" x14ac:dyDescent="0.25">
      <c r="A195" t="s">
        <v>195</v>
      </c>
      <c r="B195" t="s">
        <v>787</v>
      </c>
      <c r="C195" s="1" t="s">
        <v>788</v>
      </c>
      <c r="D195" s="1" t="s">
        <v>1646</v>
      </c>
      <c r="E195" s="1" t="s">
        <v>789</v>
      </c>
      <c r="F195" s="1" t="s">
        <v>1696</v>
      </c>
      <c r="G195" s="1" t="s">
        <v>1585</v>
      </c>
      <c r="H195" s="1" t="s">
        <v>585</v>
      </c>
      <c r="I195" s="1" t="s">
        <v>22</v>
      </c>
      <c r="J195" s="1" t="s">
        <v>125</v>
      </c>
      <c r="K195" s="1" t="s">
        <v>124</v>
      </c>
      <c r="L195" s="1" t="s">
        <v>125</v>
      </c>
      <c r="M195" s="2">
        <v>45323</v>
      </c>
      <c r="N195" s="2" t="s">
        <v>25</v>
      </c>
      <c r="O195" s="1" t="s">
        <v>817</v>
      </c>
      <c r="P195" s="2" t="s">
        <v>25</v>
      </c>
      <c r="Q195" s="1" t="s">
        <v>26</v>
      </c>
      <c r="R195" s="7">
        <v>94946.32</v>
      </c>
      <c r="S195" s="7">
        <v>6781.88</v>
      </c>
      <c r="T195" s="7">
        <v>3366.99</v>
      </c>
      <c r="U195" s="7">
        <v>2162.85</v>
      </c>
      <c r="V195" s="7">
        <v>1252.04</v>
      </c>
      <c r="W195" s="10">
        <v>262.38810000000001</v>
      </c>
      <c r="X195" s="10">
        <v>127.1858</v>
      </c>
    </row>
    <row r="196" spans="1:24" x14ac:dyDescent="0.25">
      <c r="A196" t="s">
        <v>790</v>
      </c>
      <c r="B196" t="s">
        <v>791</v>
      </c>
      <c r="C196" s="1" t="s">
        <v>792</v>
      </c>
      <c r="D196" s="1" t="s">
        <v>1646</v>
      </c>
      <c r="E196" s="1" t="s">
        <v>793</v>
      </c>
      <c r="F196" s="1" t="s">
        <v>1696</v>
      </c>
      <c r="G196" s="1" t="s">
        <v>1585</v>
      </c>
      <c r="H196" s="1" t="s">
        <v>227</v>
      </c>
      <c r="I196" s="1" t="s">
        <v>22</v>
      </c>
      <c r="J196" s="1" t="s">
        <v>303</v>
      </c>
      <c r="K196" s="1" t="s">
        <v>33</v>
      </c>
      <c r="L196" s="1" t="s">
        <v>32</v>
      </c>
      <c r="M196" s="2">
        <v>45155</v>
      </c>
      <c r="N196" s="2" t="s">
        <v>25</v>
      </c>
      <c r="O196" s="2" t="s">
        <v>25</v>
      </c>
      <c r="P196" s="2" t="s">
        <v>25</v>
      </c>
      <c r="Q196" s="1" t="s">
        <v>26</v>
      </c>
      <c r="R196" s="7">
        <v>94946.32</v>
      </c>
      <c r="S196" s="7">
        <v>6781.88</v>
      </c>
      <c r="T196" s="7">
        <v>3366.99</v>
      </c>
      <c r="U196" s="7">
        <v>2162.85</v>
      </c>
      <c r="V196" s="7">
        <v>1252.04</v>
      </c>
      <c r="W196" s="10">
        <v>74.328400000000002</v>
      </c>
      <c r="X196" s="10">
        <v>248.1018</v>
      </c>
    </row>
    <row r="197" spans="1:24" x14ac:dyDescent="0.25">
      <c r="A197" t="s">
        <v>794</v>
      </c>
      <c r="B197" t="s">
        <v>795</v>
      </c>
      <c r="C197" s="1" t="s">
        <v>796</v>
      </c>
      <c r="D197" s="1" t="s">
        <v>1647</v>
      </c>
      <c r="E197" s="1" t="s">
        <v>797</v>
      </c>
      <c r="F197" s="1" t="s">
        <v>1696</v>
      </c>
      <c r="G197" s="1" t="s">
        <v>1585</v>
      </c>
      <c r="H197" s="1" t="s">
        <v>184</v>
      </c>
      <c r="I197" s="1" t="s">
        <v>22</v>
      </c>
      <c r="J197" s="1" t="s">
        <v>32</v>
      </c>
      <c r="K197" s="1" t="s">
        <v>33</v>
      </c>
      <c r="L197" s="1" t="s">
        <v>32</v>
      </c>
      <c r="M197" s="2">
        <v>45155</v>
      </c>
      <c r="N197" s="2">
        <v>45489</v>
      </c>
      <c r="O197" s="2" t="s">
        <v>25</v>
      </c>
      <c r="P197" s="1" t="s">
        <v>1084</v>
      </c>
      <c r="Q197" s="1" t="s">
        <v>35</v>
      </c>
      <c r="R197" s="7">
        <v>71897</v>
      </c>
      <c r="S197" s="7">
        <v>5135.5</v>
      </c>
      <c r="T197" s="7">
        <v>3142.14</v>
      </c>
      <c r="U197" s="7">
        <v>2018.41</v>
      </c>
      <c r="V197" s="7">
        <v>0</v>
      </c>
      <c r="W197" s="10">
        <v>19.701499999999999</v>
      </c>
      <c r="X197" s="10">
        <v>137.03819999999999</v>
      </c>
    </row>
    <row r="198" spans="1:24" x14ac:dyDescent="0.25">
      <c r="A198" t="s">
        <v>798</v>
      </c>
      <c r="B198" t="s">
        <v>799</v>
      </c>
      <c r="C198" s="1" t="s">
        <v>800</v>
      </c>
      <c r="D198" s="1" t="s">
        <v>1647</v>
      </c>
      <c r="E198" s="1" t="s">
        <v>801</v>
      </c>
      <c r="F198" s="1" t="s">
        <v>1697</v>
      </c>
      <c r="G198" s="1" t="s">
        <v>1674</v>
      </c>
      <c r="H198" s="1" t="s">
        <v>40</v>
      </c>
      <c r="I198" s="1" t="s">
        <v>22</v>
      </c>
      <c r="J198" s="1" t="s">
        <v>32</v>
      </c>
      <c r="K198" s="1" t="s">
        <v>33</v>
      </c>
      <c r="L198" s="1" t="s">
        <v>32</v>
      </c>
      <c r="M198" s="2">
        <v>45155</v>
      </c>
      <c r="N198" s="2" t="s">
        <v>25</v>
      </c>
      <c r="O198" s="2" t="s">
        <v>25</v>
      </c>
      <c r="P198" s="2" t="s">
        <v>25</v>
      </c>
      <c r="Q198" s="1" t="s">
        <v>26</v>
      </c>
      <c r="R198" s="7">
        <v>114227.54</v>
      </c>
      <c r="S198" s="7">
        <v>8159.11</v>
      </c>
      <c r="T198" s="7">
        <v>3366.99</v>
      </c>
      <c r="U198" s="7">
        <v>1032.3800000000001</v>
      </c>
      <c r="V198" s="7">
        <v>3759.74</v>
      </c>
      <c r="W198" s="10">
        <v>194.32839999999999</v>
      </c>
      <c r="X198" s="10">
        <v>323.33839999999998</v>
      </c>
    </row>
    <row r="199" spans="1:24" x14ac:dyDescent="0.25">
      <c r="A199" t="s">
        <v>802</v>
      </c>
      <c r="B199" t="s">
        <v>803</v>
      </c>
      <c r="C199" s="1" t="s">
        <v>804</v>
      </c>
      <c r="D199" s="1" t="s">
        <v>1646</v>
      </c>
      <c r="E199" s="1" t="s">
        <v>805</v>
      </c>
      <c r="F199" s="1" t="s">
        <v>1696</v>
      </c>
      <c r="G199" s="1" t="s">
        <v>1585</v>
      </c>
      <c r="H199" s="1" t="s">
        <v>222</v>
      </c>
      <c r="I199" s="1" t="s">
        <v>22</v>
      </c>
      <c r="J199" s="1" t="s">
        <v>62</v>
      </c>
      <c r="K199" s="1" t="s">
        <v>63</v>
      </c>
      <c r="L199" s="1" t="s">
        <v>62</v>
      </c>
      <c r="M199" s="2">
        <v>45155</v>
      </c>
      <c r="N199" s="2" t="s">
        <v>25</v>
      </c>
      <c r="O199" s="2" t="s">
        <v>25</v>
      </c>
      <c r="P199" s="2" t="s">
        <v>25</v>
      </c>
      <c r="Q199" s="1" t="s">
        <v>26</v>
      </c>
      <c r="R199" s="7">
        <v>129905.02</v>
      </c>
      <c r="S199" s="7">
        <v>9278.93</v>
      </c>
      <c r="T199" s="7">
        <v>3366.99</v>
      </c>
      <c r="U199" s="7">
        <v>2162.85</v>
      </c>
      <c r="V199" s="7">
        <v>3749.09</v>
      </c>
      <c r="W199" s="10">
        <v>272.23880000000003</v>
      </c>
      <c r="X199" s="10">
        <v>154.95169999999999</v>
      </c>
    </row>
    <row r="200" spans="1:24" x14ac:dyDescent="0.25">
      <c r="A200" t="s">
        <v>806</v>
      </c>
      <c r="B200" t="s">
        <v>807</v>
      </c>
      <c r="C200" s="1" t="s">
        <v>808</v>
      </c>
      <c r="D200" s="1" t="s">
        <v>1647</v>
      </c>
      <c r="E200" s="1" t="s">
        <v>809</v>
      </c>
      <c r="F200" s="1" t="s">
        <v>1696</v>
      </c>
      <c r="G200" s="1" t="s">
        <v>1585</v>
      </c>
      <c r="H200" s="1" t="s">
        <v>144</v>
      </c>
      <c r="I200" s="1" t="s">
        <v>22</v>
      </c>
      <c r="J200" s="1" t="s">
        <v>23</v>
      </c>
      <c r="K200" s="1" t="s">
        <v>24</v>
      </c>
      <c r="L200" s="1" t="s">
        <v>23</v>
      </c>
      <c r="M200" s="2">
        <v>45155</v>
      </c>
      <c r="N200" s="2" t="s">
        <v>25</v>
      </c>
      <c r="O200" s="2" t="s">
        <v>25</v>
      </c>
      <c r="P200" s="2" t="s">
        <v>25</v>
      </c>
      <c r="Q200" s="1" t="s">
        <v>26</v>
      </c>
      <c r="R200" s="7">
        <v>89103.7</v>
      </c>
      <c r="S200" s="7">
        <v>6364.55</v>
      </c>
      <c r="T200" s="7">
        <v>3366.99</v>
      </c>
      <c r="U200" s="7">
        <v>2162.85</v>
      </c>
      <c r="V200" s="7">
        <v>834.71</v>
      </c>
      <c r="W200" s="10">
        <v>393.1343</v>
      </c>
      <c r="X200" s="10">
        <v>52.844799999999999</v>
      </c>
    </row>
    <row r="201" spans="1:24" x14ac:dyDescent="0.25">
      <c r="A201" t="s">
        <v>621</v>
      </c>
      <c r="B201" t="s">
        <v>810</v>
      </c>
      <c r="C201" s="1" t="s">
        <v>811</v>
      </c>
      <c r="D201" s="1" t="s">
        <v>1647</v>
      </c>
      <c r="E201" s="1" t="s">
        <v>812</v>
      </c>
      <c r="F201" s="1" t="s">
        <v>1696</v>
      </c>
      <c r="G201" s="1" t="s">
        <v>1585</v>
      </c>
      <c r="H201" s="1" t="s">
        <v>184</v>
      </c>
      <c r="I201" s="1" t="s">
        <v>22</v>
      </c>
      <c r="J201" s="1" t="s">
        <v>23</v>
      </c>
      <c r="K201" s="1" t="s">
        <v>24</v>
      </c>
      <c r="L201" s="1" t="s">
        <v>23</v>
      </c>
      <c r="M201" s="2">
        <v>45155</v>
      </c>
      <c r="N201" s="2" t="s">
        <v>25</v>
      </c>
      <c r="O201" s="2" t="s">
        <v>25</v>
      </c>
      <c r="P201" s="2" t="s">
        <v>25</v>
      </c>
      <c r="Q201" s="1" t="s">
        <v>26</v>
      </c>
      <c r="R201" s="7">
        <v>89103.7</v>
      </c>
      <c r="S201" s="7">
        <v>6364.55</v>
      </c>
      <c r="T201" s="7">
        <v>3366.99</v>
      </c>
      <c r="U201" s="7">
        <v>2162.85</v>
      </c>
      <c r="V201" s="7">
        <v>834.71</v>
      </c>
      <c r="W201" s="10">
        <v>244.4776</v>
      </c>
      <c r="X201" s="10">
        <v>5.3739999999999997</v>
      </c>
    </row>
    <row r="202" spans="1:24" x14ac:dyDescent="0.25">
      <c r="A202" t="s">
        <v>783</v>
      </c>
      <c r="B202" t="s">
        <v>813</v>
      </c>
      <c r="C202" s="1" t="s">
        <v>814</v>
      </c>
      <c r="D202" s="1" t="s">
        <v>1647</v>
      </c>
      <c r="E202" s="1" t="s">
        <v>815</v>
      </c>
      <c r="F202" s="1" t="s">
        <v>1696</v>
      </c>
      <c r="G202" s="1" t="s">
        <v>1585</v>
      </c>
      <c r="H202" s="1" t="s">
        <v>67</v>
      </c>
      <c r="I202" s="1" t="s">
        <v>22</v>
      </c>
      <c r="J202" s="1" t="s">
        <v>32</v>
      </c>
      <c r="K202" s="1" t="s">
        <v>33</v>
      </c>
      <c r="L202" s="1" t="s">
        <v>32</v>
      </c>
      <c r="M202" s="2">
        <v>45155</v>
      </c>
      <c r="N202" s="2">
        <v>45538</v>
      </c>
      <c r="O202" s="2" t="s">
        <v>25</v>
      </c>
      <c r="P202" s="1" t="s">
        <v>111</v>
      </c>
      <c r="Q202" s="1" t="s">
        <v>35</v>
      </c>
      <c r="R202" s="7">
        <v>71897</v>
      </c>
      <c r="S202" s="7">
        <v>5135.5</v>
      </c>
      <c r="T202" s="7">
        <v>3142.14</v>
      </c>
      <c r="U202" s="7">
        <v>2018.41</v>
      </c>
      <c r="V202" s="7">
        <v>0</v>
      </c>
      <c r="W202" s="10">
        <v>5.3731</v>
      </c>
      <c r="X202" s="10">
        <v>237.3537</v>
      </c>
    </row>
    <row r="203" spans="1:24" x14ac:dyDescent="0.25">
      <c r="A203" t="s">
        <v>667</v>
      </c>
      <c r="B203" t="s">
        <v>816</v>
      </c>
      <c r="C203" s="1" t="s">
        <v>817</v>
      </c>
      <c r="D203" s="1" t="s">
        <v>1647</v>
      </c>
      <c r="E203" s="1" t="s">
        <v>818</v>
      </c>
      <c r="F203" s="1" t="s">
        <v>1696</v>
      </c>
      <c r="G203" s="1" t="s">
        <v>1585</v>
      </c>
      <c r="H203" s="1" t="s">
        <v>585</v>
      </c>
      <c r="I203" s="1" t="s">
        <v>22</v>
      </c>
      <c r="J203" s="1" t="s">
        <v>125</v>
      </c>
      <c r="K203" s="1" t="s">
        <v>124</v>
      </c>
      <c r="L203" s="1" t="s">
        <v>125</v>
      </c>
      <c r="M203" s="2">
        <v>45155</v>
      </c>
      <c r="N203" s="2">
        <v>45323</v>
      </c>
      <c r="O203" s="2" t="s">
        <v>25</v>
      </c>
      <c r="P203" s="1" t="s">
        <v>788</v>
      </c>
      <c r="Q203" s="1" t="s">
        <v>35</v>
      </c>
      <c r="R203" s="7">
        <v>114022.16</v>
      </c>
      <c r="S203" s="7">
        <v>8144.44</v>
      </c>
      <c r="T203" s="7">
        <v>3142.14</v>
      </c>
      <c r="U203" s="7">
        <v>2018.41</v>
      </c>
      <c r="V203" s="7">
        <v>2983.89</v>
      </c>
      <c r="W203" s="10">
        <v>262.38810000000001</v>
      </c>
      <c r="X203" s="10">
        <v>127.1858</v>
      </c>
    </row>
    <row r="204" spans="1:24" x14ac:dyDescent="0.25">
      <c r="A204" t="s">
        <v>373</v>
      </c>
      <c r="B204" t="s">
        <v>819</v>
      </c>
      <c r="C204" s="1" t="s">
        <v>820</v>
      </c>
      <c r="D204" s="1" t="s">
        <v>1646</v>
      </c>
      <c r="E204" s="1" t="s">
        <v>821</v>
      </c>
      <c r="F204" s="1" t="s">
        <v>1698</v>
      </c>
      <c r="G204" s="1" t="s">
        <v>1653</v>
      </c>
      <c r="H204" s="1" t="s">
        <v>40</v>
      </c>
      <c r="I204" s="1" t="s">
        <v>22</v>
      </c>
      <c r="J204" s="1" t="s">
        <v>32</v>
      </c>
      <c r="K204" s="1" t="s">
        <v>33</v>
      </c>
      <c r="L204" s="1" t="s">
        <v>1693</v>
      </c>
      <c r="M204" s="2">
        <v>45541</v>
      </c>
      <c r="N204" s="9" t="s">
        <v>25</v>
      </c>
      <c r="O204" s="1" t="s">
        <v>1688</v>
      </c>
      <c r="P204" s="1" t="s">
        <v>709</v>
      </c>
      <c r="Q204" s="1" t="s">
        <v>26</v>
      </c>
      <c r="R204" s="7">
        <v>84377.67</v>
      </c>
      <c r="S204" s="7">
        <v>7031.47</v>
      </c>
      <c r="T204" s="7">
        <v>3366.99</v>
      </c>
      <c r="U204" s="7">
        <v>0</v>
      </c>
      <c r="V204" s="7">
        <v>0</v>
      </c>
      <c r="W204" s="10">
        <v>309.85070000000002</v>
      </c>
      <c r="X204" s="10">
        <v>259.74549999999999</v>
      </c>
    </row>
    <row r="205" spans="1:24" x14ac:dyDescent="0.25">
      <c r="A205" t="s">
        <v>822</v>
      </c>
      <c r="B205" t="s">
        <v>823</v>
      </c>
      <c r="C205" s="1" t="s">
        <v>824</v>
      </c>
      <c r="D205" s="1" t="s">
        <v>1646</v>
      </c>
      <c r="E205" s="1" t="s">
        <v>825</v>
      </c>
      <c r="F205" s="1" t="s">
        <v>1696</v>
      </c>
      <c r="G205" s="1" t="s">
        <v>1585</v>
      </c>
      <c r="H205" s="1" t="s">
        <v>139</v>
      </c>
      <c r="I205" s="1" t="s">
        <v>22</v>
      </c>
      <c r="J205" s="1" t="s">
        <v>32</v>
      </c>
      <c r="K205" s="1" t="s">
        <v>33</v>
      </c>
      <c r="L205" s="1" t="s">
        <v>32</v>
      </c>
      <c r="M205" s="2">
        <v>45155</v>
      </c>
      <c r="N205" s="2" t="s">
        <v>25</v>
      </c>
      <c r="O205" s="2" t="s">
        <v>25</v>
      </c>
      <c r="P205" s="2" t="s">
        <v>25</v>
      </c>
      <c r="Q205" s="1" t="s">
        <v>26</v>
      </c>
      <c r="R205" s="7">
        <v>122181.5</v>
      </c>
      <c r="S205" s="7">
        <v>8727.26</v>
      </c>
      <c r="T205" s="7">
        <v>3366.99</v>
      </c>
      <c r="U205" s="7">
        <v>2162.85</v>
      </c>
      <c r="V205" s="7">
        <v>3197.41</v>
      </c>
      <c r="W205" s="10">
        <v>145.0746</v>
      </c>
      <c r="X205" s="10">
        <v>270.49360000000001</v>
      </c>
    </row>
    <row r="206" spans="1:24" x14ac:dyDescent="0.25">
      <c r="A206" t="s">
        <v>625</v>
      </c>
      <c r="B206" t="s">
        <v>826</v>
      </c>
      <c r="C206" s="1" t="s">
        <v>827</v>
      </c>
      <c r="D206" s="1" t="s">
        <v>1646</v>
      </c>
      <c r="E206" s="1" t="s">
        <v>828</v>
      </c>
      <c r="F206" s="1" t="s">
        <v>1696</v>
      </c>
      <c r="G206" s="1" t="s">
        <v>1585</v>
      </c>
      <c r="H206" s="1" t="s">
        <v>259</v>
      </c>
      <c r="I206" s="1" t="s">
        <v>22</v>
      </c>
      <c r="J206" s="1" t="s">
        <v>32</v>
      </c>
      <c r="K206" s="1" t="s">
        <v>33</v>
      </c>
      <c r="L206" s="1" t="s">
        <v>32</v>
      </c>
      <c r="M206" s="2">
        <v>45155</v>
      </c>
      <c r="N206" s="2" t="s">
        <v>25</v>
      </c>
      <c r="O206" s="2" t="s">
        <v>25</v>
      </c>
      <c r="P206" s="2" t="s">
        <v>25</v>
      </c>
      <c r="Q206" s="1" t="s">
        <v>26</v>
      </c>
      <c r="R206" s="7">
        <v>94946.32</v>
      </c>
      <c r="S206" s="7">
        <v>6781.88</v>
      </c>
      <c r="T206" s="7">
        <v>3366.99</v>
      </c>
      <c r="U206" s="7">
        <v>2162.85</v>
      </c>
      <c r="V206" s="7">
        <v>1252.04</v>
      </c>
      <c r="W206" s="10">
        <v>76.119399999999999</v>
      </c>
      <c r="X206" s="10">
        <v>195.25700000000001</v>
      </c>
    </row>
    <row r="207" spans="1:24" x14ac:dyDescent="0.25">
      <c r="A207" t="s">
        <v>747</v>
      </c>
      <c r="B207" t="s">
        <v>829</v>
      </c>
      <c r="C207" s="1" t="s">
        <v>830</v>
      </c>
      <c r="D207" s="1" t="s">
        <v>1646</v>
      </c>
      <c r="E207" s="1" t="s">
        <v>831</v>
      </c>
      <c r="F207" s="1" t="s">
        <v>1696</v>
      </c>
      <c r="G207" s="1" t="s">
        <v>1585</v>
      </c>
      <c r="H207" s="1" t="s">
        <v>832</v>
      </c>
      <c r="I207" s="1" t="s">
        <v>22</v>
      </c>
      <c r="J207" s="1" t="s">
        <v>41</v>
      </c>
      <c r="K207" s="1" t="s">
        <v>42</v>
      </c>
      <c r="L207" s="1" t="s">
        <v>41</v>
      </c>
      <c r="M207" s="2">
        <v>45155</v>
      </c>
      <c r="N207" s="2" t="s">
        <v>25</v>
      </c>
      <c r="O207" s="2" t="s">
        <v>25</v>
      </c>
      <c r="P207" s="2" t="s">
        <v>25</v>
      </c>
      <c r="Q207" s="1" t="s">
        <v>26</v>
      </c>
      <c r="R207" s="7">
        <v>94946.32</v>
      </c>
      <c r="S207" s="7">
        <v>6781.88</v>
      </c>
      <c r="T207" s="7">
        <v>3366.99</v>
      </c>
      <c r="U207" s="7">
        <v>2162.85</v>
      </c>
      <c r="V207" s="7">
        <v>1252.04</v>
      </c>
      <c r="W207" s="10">
        <v>359.10449999999997</v>
      </c>
      <c r="X207" s="10">
        <v>117.33329999999999</v>
      </c>
    </row>
    <row r="208" spans="1:24" x14ac:dyDescent="0.25">
      <c r="A208" t="s">
        <v>833</v>
      </c>
      <c r="B208" t="s">
        <v>834</v>
      </c>
      <c r="C208" s="1" t="s">
        <v>835</v>
      </c>
      <c r="D208" s="1" t="s">
        <v>1647</v>
      </c>
      <c r="E208" s="1" t="s">
        <v>836</v>
      </c>
      <c r="F208" s="1" t="s">
        <v>1696</v>
      </c>
      <c r="G208" s="1" t="s">
        <v>1585</v>
      </c>
      <c r="H208" s="1" t="s">
        <v>67</v>
      </c>
      <c r="I208" s="1" t="s">
        <v>22</v>
      </c>
      <c r="J208" s="1" t="s">
        <v>125</v>
      </c>
      <c r="K208" s="1" t="s">
        <v>124</v>
      </c>
      <c r="L208" s="1" t="s">
        <v>125</v>
      </c>
      <c r="M208" s="2">
        <v>45317</v>
      </c>
      <c r="N208" s="2" t="s">
        <v>25</v>
      </c>
      <c r="O208" s="1" t="s">
        <v>1572</v>
      </c>
      <c r="P208" s="2" t="s">
        <v>25</v>
      </c>
      <c r="Q208" s="1" t="s">
        <v>26</v>
      </c>
      <c r="R208" s="7">
        <v>89103.7</v>
      </c>
      <c r="S208" s="7">
        <v>6364.55</v>
      </c>
      <c r="T208" s="7">
        <v>3366.99</v>
      </c>
      <c r="U208" s="7">
        <v>2162.85</v>
      </c>
      <c r="V208" s="7">
        <v>834.71</v>
      </c>
      <c r="W208" s="10">
        <v>201.49250000000001</v>
      </c>
      <c r="X208" s="10">
        <v>107.48090000000001</v>
      </c>
    </row>
    <row r="209" spans="1:24" x14ac:dyDescent="0.25">
      <c r="A209" t="s">
        <v>17</v>
      </c>
      <c r="B209" t="s">
        <v>837</v>
      </c>
      <c r="C209" s="1" t="s">
        <v>838</v>
      </c>
      <c r="D209" s="1" t="s">
        <v>1647</v>
      </c>
      <c r="E209" s="1" t="s">
        <v>839</v>
      </c>
      <c r="F209" s="1" t="s">
        <v>1696</v>
      </c>
      <c r="G209" s="1" t="s">
        <v>1585</v>
      </c>
      <c r="H209" s="1" t="s">
        <v>250</v>
      </c>
      <c r="I209" s="1" t="s">
        <v>22</v>
      </c>
      <c r="J209" s="1" t="s">
        <v>32</v>
      </c>
      <c r="K209" s="1" t="s">
        <v>33</v>
      </c>
      <c r="L209" s="1" t="s">
        <v>32</v>
      </c>
      <c r="M209" s="2">
        <v>45155</v>
      </c>
      <c r="N209" s="2" t="s">
        <v>25</v>
      </c>
      <c r="O209" s="2" t="s">
        <v>25</v>
      </c>
      <c r="P209" s="2" t="s">
        <v>25</v>
      </c>
      <c r="Q209" s="1" t="s">
        <v>26</v>
      </c>
      <c r="R209" s="7">
        <v>89103.7</v>
      </c>
      <c r="S209" s="7">
        <v>6364.55</v>
      </c>
      <c r="T209" s="7">
        <v>3366.99</v>
      </c>
      <c r="U209" s="7">
        <v>2162.85</v>
      </c>
      <c r="V209" s="7">
        <v>834.71</v>
      </c>
      <c r="W209" s="10">
        <v>6.2686999999999999</v>
      </c>
      <c r="X209" s="10">
        <v>309.9033</v>
      </c>
    </row>
    <row r="210" spans="1:24" x14ac:dyDescent="0.25">
      <c r="A210" t="s">
        <v>840</v>
      </c>
      <c r="B210" t="s">
        <v>841</v>
      </c>
      <c r="C210" s="1" t="s">
        <v>842</v>
      </c>
      <c r="D210" s="1" t="s">
        <v>1647</v>
      </c>
      <c r="E210" s="1" t="s">
        <v>843</v>
      </c>
      <c r="F210" s="1" t="s">
        <v>1696</v>
      </c>
      <c r="G210" s="1" t="s">
        <v>1585</v>
      </c>
      <c r="H210" s="1" t="s">
        <v>189</v>
      </c>
      <c r="I210" s="1" t="s">
        <v>22</v>
      </c>
      <c r="J210" s="1" t="s">
        <v>23</v>
      </c>
      <c r="K210" s="1" t="s">
        <v>24</v>
      </c>
      <c r="L210" s="1" t="s">
        <v>23</v>
      </c>
      <c r="M210" s="2">
        <v>45155</v>
      </c>
      <c r="N210" s="2" t="s">
        <v>25</v>
      </c>
      <c r="O210" s="2" t="s">
        <v>25</v>
      </c>
      <c r="P210" s="2" t="s">
        <v>25</v>
      </c>
      <c r="Q210" s="1" t="s">
        <v>26</v>
      </c>
      <c r="R210" s="7">
        <v>89103.7</v>
      </c>
      <c r="S210" s="7">
        <v>6364.55</v>
      </c>
      <c r="T210" s="7">
        <v>3366.99</v>
      </c>
      <c r="U210" s="7">
        <v>2162.85</v>
      </c>
      <c r="V210" s="7">
        <v>834.71</v>
      </c>
      <c r="W210" s="10">
        <v>473.73129999999998</v>
      </c>
      <c r="X210" s="10">
        <v>188.0916</v>
      </c>
    </row>
    <row r="211" spans="1:24" x14ac:dyDescent="0.25">
      <c r="A211" t="s">
        <v>652</v>
      </c>
      <c r="B211" t="s">
        <v>844</v>
      </c>
      <c r="C211" s="1" t="s">
        <v>845</v>
      </c>
      <c r="D211" s="1" t="s">
        <v>1646</v>
      </c>
      <c r="E211" s="1" t="s">
        <v>846</v>
      </c>
      <c r="F211" s="1" t="s">
        <v>1696</v>
      </c>
      <c r="G211" s="1" t="s">
        <v>1585</v>
      </c>
      <c r="H211" s="1" t="s">
        <v>462</v>
      </c>
      <c r="I211" s="1" t="s">
        <v>22</v>
      </c>
      <c r="J211" s="1" t="s">
        <v>32</v>
      </c>
      <c r="K211" s="1" t="s">
        <v>33</v>
      </c>
      <c r="L211" s="1" t="s">
        <v>32</v>
      </c>
      <c r="M211" s="2">
        <v>45258</v>
      </c>
      <c r="N211" s="2" t="s">
        <v>25</v>
      </c>
      <c r="O211" s="1" t="s">
        <v>719</v>
      </c>
      <c r="P211" s="2" t="s">
        <v>25</v>
      </c>
      <c r="Q211" s="1" t="s">
        <v>26</v>
      </c>
      <c r="R211" s="7">
        <v>94946.32</v>
      </c>
      <c r="S211" s="7">
        <v>6781.88</v>
      </c>
      <c r="T211" s="7">
        <v>3366.99</v>
      </c>
      <c r="U211" s="7">
        <v>2162.85</v>
      </c>
      <c r="V211" s="7">
        <v>1252.04</v>
      </c>
      <c r="W211" s="10">
        <v>76.119399999999999</v>
      </c>
      <c r="X211" s="10">
        <v>128.97710000000001</v>
      </c>
    </row>
    <row r="212" spans="1:24" x14ac:dyDescent="0.25">
      <c r="A212" t="s">
        <v>847</v>
      </c>
      <c r="B212" t="s">
        <v>848</v>
      </c>
      <c r="C212" s="1" t="s">
        <v>849</v>
      </c>
      <c r="D212" s="1" t="s">
        <v>1646</v>
      </c>
      <c r="E212" s="1" t="s">
        <v>850</v>
      </c>
      <c r="F212" s="1" t="s">
        <v>1696</v>
      </c>
      <c r="G212" s="1" t="s">
        <v>1585</v>
      </c>
      <c r="H212" s="1" t="s">
        <v>179</v>
      </c>
      <c r="I212" s="1" t="s">
        <v>22</v>
      </c>
      <c r="J212" s="1" t="s">
        <v>32</v>
      </c>
      <c r="K212" s="1" t="s">
        <v>33</v>
      </c>
      <c r="L212" s="1" t="s">
        <v>32</v>
      </c>
      <c r="M212" s="2">
        <v>45258</v>
      </c>
      <c r="N212" s="2" t="s">
        <v>25</v>
      </c>
      <c r="O212" s="1" t="s">
        <v>1380</v>
      </c>
      <c r="P212" s="2" t="s">
        <v>25</v>
      </c>
      <c r="Q212" s="1" t="s">
        <v>26</v>
      </c>
      <c r="R212" s="7">
        <v>94946.32</v>
      </c>
      <c r="S212" s="7">
        <v>6781.88</v>
      </c>
      <c r="T212" s="7">
        <v>3366.99</v>
      </c>
      <c r="U212" s="7">
        <v>2162.85</v>
      </c>
      <c r="V212" s="7">
        <v>1252.04</v>
      </c>
      <c r="W212" s="10">
        <v>68.059700000000007</v>
      </c>
      <c r="X212" s="10">
        <v>68.071200000000005</v>
      </c>
    </row>
    <row r="213" spans="1:24" x14ac:dyDescent="0.25">
      <c r="A213" t="s">
        <v>171</v>
      </c>
      <c r="B213" t="s">
        <v>851</v>
      </c>
      <c r="C213" s="1" t="s">
        <v>852</v>
      </c>
      <c r="D213" s="1" t="s">
        <v>1646</v>
      </c>
      <c r="E213" s="1" t="s">
        <v>853</v>
      </c>
      <c r="F213" s="1" t="s">
        <v>1696</v>
      </c>
      <c r="G213" s="1" t="s">
        <v>1585</v>
      </c>
      <c r="H213" s="1" t="s">
        <v>285</v>
      </c>
      <c r="I213" s="1" t="s">
        <v>22</v>
      </c>
      <c r="J213" s="1" t="s">
        <v>32</v>
      </c>
      <c r="K213" s="1" t="s">
        <v>33</v>
      </c>
      <c r="L213" s="1" t="s">
        <v>32</v>
      </c>
      <c r="M213" s="2">
        <v>45155</v>
      </c>
      <c r="N213" s="2">
        <v>45902</v>
      </c>
      <c r="O213" s="2" t="s">
        <v>25</v>
      </c>
      <c r="P213" s="1" t="s">
        <v>781</v>
      </c>
      <c r="Q213" s="1" t="s">
        <v>35</v>
      </c>
      <c r="R213" s="7">
        <v>97457.919999999998</v>
      </c>
      <c r="S213" s="7">
        <v>6961.28</v>
      </c>
      <c r="T213" s="7">
        <v>3236.32</v>
      </c>
      <c r="U213" s="7">
        <v>2078.92</v>
      </c>
      <c r="V213" s="7">
        <v>1646.04</v>
      </c>
      <c r="W213" s="10">
        <v>5.3731</v>
      </c>
      <c r="X213" s="10">
        <v>300.94659999999999</v>
      </c>
    </row>
    <row r="214" spans="1:24" x14ac:dyDescent="0.25">
      <c r="A214" t="s">
        <v>854</v>
      </c>
      <c r="B214" t="s">
        <v>855</v>
      </c>
      <c r="C214" s="1" t="s">
        <v>856</v>
      </c>
      <c r="D214" s="1" t="s">
        <v>1646</v>
      </c>
      <c r="E214" s="1" t="s">
        <v>857</v>
      </c>
      <c r="F214" s="1" t="s">
        <v>1696</v>
      </c>
      <c r="G214" s="1" t="s">
        <v>1585</v>
      </c>
      <c r="H214" s="1" t="s">
        <v>353</v>
      </c>
      <c r="I214" s="1" t="s">
        <v>22</v>
      </c>
      <c r="J214" s="1" t="s">
        <v>23</v>
      </c>
      <c r="K214" s="1" t="s">
        <v>24</v>
      </c>
      <c r="L214" s="1" t="s">
        <v>23</v>
      </c>
      <c r="M214" s="2">
        <v>45155</v>
      </c>
      <c r="N214" s="2" t="s">
        <v>25</v>
      </c>
      <c r="O214" s="2" t="s">
        <v>25</v>
      </c>
      <c r="P214" s="2" t="s">
        <v>25</v>
      </c>
      <c r="Q214" s="1" t="s">
        <v>26</v>
      </c>
      <c r="R214" s="7">
        <v>89103.7</v>
      </c>
      <c r="S214" s="7">
        <v>6364.55</v>
      </c>
      <c r="T214" s="7">
        <v>3366.99</v>
      </c>
      <c r="U214" s="7">
        <v>2162.85</v>
      </c>
      <c r="V214" s="7">
        <v>834.71</v>
      </c>
      <c r="W214" s="10">
        <v>269.55220000000003</v>
      </c>
      <c r="X214" s="10">
        <v>6.2697000000000003</v>
      </c>
    </row>
    <row r="215" spans="1:24" x14ac:dyDescent="0.25">
      <c r="A215" t="s">
        <v>667</v>
      </c>
      <c r="B215" t="s">
        <v>858</v>
      </c>
      <c r="C215" s="1" t="s">
        <v>859</v>
      </c>
      <c r="D215" s="1" t="s">
        <v>1647</v>
      </c>
      <c r="E215" s="1" t="s">
        <v>860</v>
      </c>
      <c r="F215" s="1" t="s">
        <v>1696</v>
      </c>
      <c r="G215" s="1" t="s">
        <v>1585</v>
      </c>
      <c r="H215" s="1" t="s">
        <v>227</v>
      </c>
      <c r="I215" s="1" t="s">
        <v>22</v>
      </c>
      <c r="J215" s="1" t="s">
        <v>303</v>
      </c>
      <c r="K215" s="1" t="s">
        <v>304</v>
      </c>
      <c r="L215" s="1" t="s">
        <v>303</v>
      </c>
      <c r="M215" s="2">
        <v>45155</v>
      </c>
      <c r="N215" s="2" t="s">
        <v>25</v>
      </c>
      <c r="O215" s="2" t="s">
        <v>25</v>
      </c>
      <c r="P215" s="2" t="s">
        <v>25</v>
      </c>
      <c r="Q215" s="1" t="s">
        <v>26</v>
      </c>
      <c r="R215" s="7">
        <v>101392.76</v>
      </c>
      <c r="S215" s="7">
        <v>7242.34</v>
      </c>
      <c r="T215" s="7">
        <v>3366.99</v>
      </c>
      <c r="U215" s="7">
        <v>2162.85</v>
      </c>
      <c r="V215" s="7">
        <v>1712.5</v>
      </c>
      <c r="W215" s="10">
        <v>111.94029999999999</v>
      </c>
      <c r="X215" s="10">
        <v>125.3944</v>
      </c>
    </row>
    <row r="216" spans="1:24" x14ac:dyDescent="0.25">
      <c r="A216" t="s">
        <v>861</v>
      </c>
      <c r="B216" t="s">
        <v>862</v>
      </c>
      <c r="C216" s="1" t="s">
        <v>863</v>
      </c>
      <c r="D216" s="1" t="s">
        <v>1646</v>
      </c>
      <c r="E216" s="1" t="s">
        <v>864</v>
      </c>
      <c r="F216" s="1" t="s">
        <v>1696</v>
      </c>
      <c r="G216" s="1" t="s">
        <v>1585</v>
      </c>
      <c r="H216" s="1" t="s">
        <v>421</v>
      </c>
      <c r="I216" s="1" t="s">
        <v>22</v>
      </c>
      <c r="J216" s="1" t="s">
        <v>23</v>
      </c>
      <c r="K216" s="1" t="s">
        <v>24</v>
      </c>
      <c r="L216" s="1" t="s">
        <v>23</v>
      </c>
      <c r="M216" s="2">
        <v>45155</v>
      </c>
      <c r="N216" s="2" t="s">
        <v>25</v>
      </c>
      <c r="O216" s="2" t="s">
        <v>25</v>
      </c>
      <c r="P216" s="2" t="s">
        <v>25</v>
      </c>
      <c r="Q216" s="1" t="s">
        <v>26</v>
      </c>
      <c r="R216" s="7">
        <v>89103.7</v>
      </c>
      <c r="S216" s="7">
        <v>6364.55</v>
      </c>
      <c r="T216" s="7">
        <v>3366.99</v>
      </c>
      <c r="U216" s="7">
        <v>2162.85</v>
      </c>
      <c r="V216" s="7">
        <v>834.71</v>
      </c>
      <c r="W216" s="10">
        <v>281.19400000000002</v>
      </c>
      <c r="X216" s="10">
        <v>7.1654</v>
      </c>
    </row>
    <row r="217" spans="1:24" x14ac:dyDescent="0.25">
      <c r="A217" t="s">
        <v>794</v>
      </c>
      <c r="B217" t="s">
        <v>865</v>
      </c>
      <c r="C217" s="1" t="s">
        <v>866</v>
      </c>
      <c r="D217" s="1" t="s">
        <v>1647</v>
      </c>
      <c r="E217" s="1" t="s">
        <v>867</v>
      </c>
      <c r="F217" s="1" t="s">
        <v>1696</v>
      </c>
      <c r="G217" s="1" t="s">
        <v>1585</v>
      </c>
      <c r="H217" s="1" t="s">
        <v>244</v>
      </c>
      <c r="I217" s="1" t="s">
        <v>22</v>
      </c>
      <c r="J217" s="1" t="s">
        <v>32</v>
      </c>
      <c r="K217" s="1" t="s">
        <v>33</v>
      </c>
      <c r="L217" s="1" t="s">
        <v>32</v>
      </c>
      <c r="M217" s="2">
        <v>45155</v>
      </c>
      <c r="N217" s="2" t="s">
        <v>25</v>
      </c>
      <c r="O217" s="2" t="s">
        <v>25</v>
      </c>
      <c r="P217" s="2" t="s">
        <v>25</v>
      </c>
      <c r="Q217" s="1" t="s">
        <v>26</v>
      </c>
      <c r="R217" s="7">
        <v>94946.32</v>
      </c>
      <c r="S217" s="7">
        <v>6781.88</v>
      </c>
      <c r="T217" s="7">
        <v>3366.99</v>
      </c>
      <c r="U217" s="7">
        <v>2162.85</v>
      </c>
      <c r="V217" s="7">
        <v>1252.04</v>
      </c>
      <c r="W217" s="10">
        <v>99.403000000000006</v>
      </c>
      <c r="X217" s="10">
        <v>227.50129999999999</v>
      </c>
    </row>
    <row r="218" spans="1:24" x14ac:dyDescent="0.25">
      <c r="A218" t="s">
        <v>868</v>
      </c>
      <c r="B218" t="s">
        <v>869</v>
      </c>
      <c r="C218" s="1" t="s">
        <v>870</v>
      </c>
      <c r="D218" s="1" t="s">
        <v>1647</v>
      </c>
      <c r="E218" s="1" t="s">
        <v>871</v>
      </c>
      <c r="F218" s="1" t="s">
        <v>1696</v>
      </c>
      <c r="G218" s="1" t="s">
        <v>1585</v>
      </c>
      <c r="H218" s="1" t="s">
        <v>872</v>
      </c>
      <c r="I218" s="1" t="s">
        <v>22</v>
      </c>
      <c r="J218" s="1" t="s">
        <v>23</v>
      </c>
      <c r="K218" s="1" t="s">
        <v>24</v>
      </c>
      <c r="L218" s="1" t="s">
        <v>23</v>
      </c>
      <c r="M218" s="2">
        <v>45155</v>
      </c>
      <c r="N218" s="2" t="s">
        <v>25</v>
      </c>
      <c r="O218" s="2" t="s">
        <v>25</v>
      </c>
      <c r="P218" s="2" t="s">
        <v>25</v>
      </c>
      <c r="Q218" s="1" t="s">
        <v>26</v>
      </c>
      <c r="R218" s="7">
        <v>94946.32</v>
      </c>
      <c r="S218" s="7">
        <v>6781.88</v>
      </c>
      <c r="T218" s="7">
        <v>3366.99</v>
      </c>
      <c r="U218" s="7">
        <v>2162.85</v>
      </c>
      <c r="V218" s="7">
        <v>1252.04</v>
      </c>
      <c r="W218" s="10">
        <v>428.05970000000002</v>
      </c>
      <c r="X218" s="10">
        <v>301.84219999999999</v>
      </c>
    </row>
    <row r="219" spans="1:24" x14ac:dyDescent="0.25">
      <c r="A219" t="s">
        <v>873</v>
      </c>
      <c r="B219" t="s">
        <v>874</v>
      </c>
      <c r="C219" s="1" t="s">
        <v>875</v>
      </c>
      <c r="D219" s="1" t="s">
        <v>1646</v>
      </c>
      <c r="E219" s="1" t="s">
        <v>876</v>
      </c>
      <c r="F219" s="1" t="s">
        <v>1696</v>
      </c>
      <c r="G219" s="1" t="s">
        <v>1585</v>
      </c>
      <c r="H219" s="1" t="s">
        <v>194</v>
      </c>
      <c r="I219" s="1" t="s">
        <v>22</v>
      </c>
      <c r="J219" s="1" t="s">
        <v>23</v>
      </c>
      <c r="K219" s="1" t="s">
        <v>24</v>
      </c>
      <c r="L219" s="1" t="s">
        <v>23</v>
      </c>
      <c r="M219" s="2">
        <v>45155</v>
      </c>
      <c r="N219" s="2" t="s">
        <v>25</v>
      </c>
      <c r="O219" s="2" t="s">
        <v>25</v>
      </c>
      <c r="P219" s="2" t="s">
        <v>25</v>
      </c>
      <c r="Q219" s="1" t="s">
        <v>26</v>
      </c>
      <c r="R219" s="7">
        <v>94946.32</v>
      </c>
      <c r="S219" s="7">
        <v>6781.88</v>
      </c>
      <c r="T219" s="7">
        <v>3366.99</v>
      </c>
      <c r="U219" s="7">
        <v>2162.85</v>
      </c>
      <c r="V219" s="7">
        <v>1252.04</v>
      </c>
      <c r="W219" s="10">
        <v>381.49250000000001</v>
      </c>
      <c r="X219" s="10">
        <v>227.50129999999999</v>
      </c>
    </row>
    <row r="220" spans="1:24" x14ac:dyDescent="0.25">
      <c r="A220" t="s">
        <v>877</v>
      </c>
      <c r="B220" t="s">
        <v>878</v>
      </c>
      <c r="C220" s="1" t="s">
        <v>879</v>
      </c>
      <c r="D220" s="1" t="s">
        <v>1646</v>
      </c>
      <c r="E220" s="1" t="s">
        <v>880</v>
      </c>
      <c r="F220" s="1" t="s">
        <v>1696</v>
      </c>
      <c r="G220" s="1" t="s">
        <v>1585</v>
      </c>
      <c r="H220" s="1" t="s">
        <v>285</v>
      </c>
      <c r="I220" s="1" t="s">
        <v>22</v>
      </c>
      <c r="J220" s="1" t="s">
        <v>23</v>
      </c>
      <c r="K220" s="1" t="s">
        <v>24</v>
      </c>
      <c r="L220" s="1" t="s">
        <v>23</v>
      </c>
      <c r="M220" s="2">
        <v>45155</v>
      </c>
      <c r="N220" s="2">
        <v>45183</v>
      </c>
      <c r="O220" s="2" t="s">
        <v>25</v>
      </c>
      <c r="P220" s="1" t="s">
        <v>687</v>
      </c>
      <c r="Q220" s="1" t="s">
        <v>35</v>
      </c>
      <c r="R220" s="7">
        <v>71897</v>
      </c>
      <c r="S220" s="7">
        <v>5135.5</v>
      </c>
      <c r="T220" s="7">
        <v>3142.14</v>
      </c>
      <c r="U220" s="7">
        <v>2018.41</v>
      </c>
      <c r="V220" s="7">
        <v>0</v>
      </c>
      <c r="W220" s="10">
        <v>380.59699999999998</v>
      </c>
      <c r="X220" s="10">
        <v>206.0051</v>
      </c>
    </row>
    <row r="221" spans="1:24" x14ac:dyDescent="0.25">
      <c r="A221" t="s">
        <v>732</v>
      </c>
      <c r="B221" t="s">
        <v>881</v>
      </c>
      <c r="C221" s="1" t="s">
        <v>882</v>
      </c>
      <c r="D221" s="1" t="s">
        <v>1646</v>
      </c>
      <c r="E221" s="1" t="s">
        <v>883</v>
      </c>
      <c r="F221" s="1" t="s">
        <v>1697</v>
      </c>
      <c r="G221" s="1" t="s">
        <v>1675</v>
      </c>
      <c r="H221" s="1" t="s">
        <v>416</v>
      </c>
      <c r="I221" s="1" t="s">
        <v>22</v>
      </c>
      <c r="J221" s="1" t="s">
        <v>23</v>
      </c>
      <c r="K221" s="1" t="s">
        <v>24</v>
      </c>
      <c r="L221" s="1" t="s">
        <v>23</v>
      </c>
      <c r="M221" s="2">
        <v>45155</v>
      </c>
      <c r="N221" s="2" t="s">
        <v>25</v>
      </c>
      <c r="O221" s="2" t="s">
        <v>25</v>
      </c>
      <c r="P221" s="2" t="s">
        <v>25</v>
      </c>
      <c r="Q221" s="1" t="s">
        <v>26</v>
      </c>
      <c r="R221" s="7">
        <v>118368.18</v>
      </c>
      <c r="S221" s="7">
        <v>8454.8700000000008</v>
      </c>
      <c r="T221" s="7">
        <v>3366.99</v>
      </c>
      <c r="U221" s="7">
        <v>2162.85</v>
      </c>
      <c r="V221" s="7">
        <v>2925.03</v>
      </c>
      <c r="W221" s="10">
        <v>307.16419999999999</v>
      </c>
      <c r="X221" s="10">
        <v>322.4427</v>
      </c>
    </row>
    <row r="222" spans="1:24" x14ac:dyDescent="0.25">
      <c r="A222" t="s">
        <v>195</v>
      </c>
      <c r="B222" t="s">
        <v>884</v>
      </c>
      <c r="C222" s="1" t="s">
        <v>885</v>
      </c>
      <c r="D222" s="1" t="s">
        <v>1646</v>
      </c>
      <c r="E222" s="1" t="s">
        <v>886</v>
      </c>
      <c r="F222" s="1" t="s">
        <v>1696</v>
      </c>
      <c r="G222" s="1" t="s">
        <v>1585</v>
      </c>
      <c r="H222" s="1" t="s">
        <v>108</v>
      </c>
      <c r="I222" s="1" t="s">
        <v>22</v>
      </c>
      <c r="J222" s="1" t="s">
        <v>41</v>
      </c>
      <c r="K222" s="1" t="s">
        <v>42</v>
      </c>
      <c r="L222" s="1" t="s">
        <v>41</v>
      </c>
      <c r="M222" s="2">
        <v>45155</v>
      </c>
      <c r="N222" s="2" t="s">
        <v>25</v>
      </c>
      <c r="O222" s="2" t="s">
        <v>25</v>
      </c>
      <c r="P222" s="2" t="s">
        <v>25</v>
      </c>
      <c r="Q222" s="1" t="s">
        <v>26</v>
      </c>
      <c r="R222" s="7">
        <v>94946.32</v>
      </c>
      <c r="S222" s="7">
        <v>6781.88</v>
      </c>
      <c r="T222" s="7">
        <v>3366.99</v>
      </c>
      <c r="U222" s="7">
        <v>2162.85</v>
      </c>
      <c r="V222" s="7">
        <v>1252.04</v>
      </c>
      <c r="W222" s="10">
        <v>351.04480000000001</v>
      </c>
      <c r="X222" s="10">
        <v>111.06359999999999</v>
      </c>
    </row>
    <row r="223" spans="1:24" x14ac:dyDescent="0.25">
      <c r="A223" t="s">
        <v>887</v>
      </c>
      <c r="B223" t="s">
        <v>888</v>
      </c>
      <c r="C223" s="1" t="s">
        <v>889</v>
      </c>
      <c r="D223" s="1" t="s">
        <v>1646</v>
      </c>
      <c r="E223" s="1" t="s">
        <v>890</v>
      </c>
      <c r="F223" s="1" t="s">
        <v>1696</v>
      </c>
      <c r="G223" s="1" t="s">
        <v>1585</v>
      </c>
      <c r="H223" s="1" t="s">
        <v>620</v>
      </c>
      <c r="I223" s="1" t="s">
        <v>22</v>
      </c>
      <c r="J223" s="1" t="s">
        <v>32</v>
      </c>
      <c r="K223" s="1" t="s">
        <v>33</v>
      </c>
      <c r="L223" s="1" t="s">
        <v>32</v>
      </c>
      <c r="M223" s="2">
        <v>45155</v>
      </c>
      <c r="N223" s="2" t="s">
        <v>25</v>
      </c>
      <c r="O223" s="2" t="s">
        <v>25</v>
      </c>
      <c r="P223" s="2" t="s">
        <v>25</v>
      </c>
      <c r="Q223" s="1" t="s">
        <v>26</v>
      </c>
      <c r="R223" s="7">
        <v>94946.32</v>
      </c>
      <c r="S223" s="7">
        <v>6781.88</v>
      </c>
      <c r="T223" s="7">
        <v>3366.99</v>
      </c>
      <c r="U223" s="7">
        <v>2162.85</v>
      </c>
      <c r="V223" s="7">
        <v>1252.04</v>
      </c>
      <c r="W223" s="10">
        <v>25.970099999999999</v>
      </c>
      <c r="X223" s="10">
        <v>238.24940000000001</v>
      </c>
    </row>
    <row r="224" spans="1:24" x14ac:dyDescent="0.25">
      <c r="A224" t="s">
        <v>891</v>
      </c>
      <c r="B224" t="s">
        <v>892</v>
      </c>
      <c r="C224" s="1" t="s">
        <v>893</v>
      </c>
      <c r="D224" s="1" t="s">
        <v>1646</v>
      </c>
      <c r="E224" s="1" t="s">
        <v>894</v>
      </c>
      <c r="F224" s="1" t="s">
        <v>1696</v>
      </c>
      <c r="G224" s="1" t="s">
        <v>1585</v>
      </c>
      <c r="H224" s="1" t="s">
        <v>67</v>
      </c>
      <c r="I224" s="1" t="s">
        <v>22</v>
      </c>
      <c r="J224" s="1" t="s">
        <v>23</v>
      </c>
      <c r="K224" s="1" t="s">
        <v>24</v>
      </c>
      <c r="L224" s="1" t="s">
        <v>23</v>
      </c>
      <c r="M224" s="2">
        <v>45155</v>
      </c>
      <c r="N224" s="2" t="s">
        <v>25</v>
      </c>
      <c r="O224" s="2" t="s">
        <v>25</v>
      </c>
      <c r="P224" s="2" t="s">
        <v>25</v>
      </c>
      <c r="Q224" s="1" t="s">
        <v>26</v>
      </c>
      <c r="R224" s="7">
        <v>94946.32</v>
      </c>
      <c r="S224" s="7">
        <v>6781.88</v>
      </c>
      <c r="T224" s="7">
        <v>3366.99</v>
      </c>
      <c r="U224" s="7">
        <v>2162.85</v>
      </c>
      <c r="V224" s="7">
        <v>1252.04</v>
      </c>
      <c r="W224" s="10">
        <v>428.05970000000002</v>
      </c>
      <c r="X224" s="10">
        <v>344.83460000000002</v>
      </c>
    </row>
    <row r="225" spans="1:24" x14ac:dyDescent="0.25">
      <c r="A225" t="s">
        <v>895</v>
      </c>
      <c r="B225" t="s">
        <v>896</v>
      </c>
      <c r="C225" s="1" t="s">
        <v>897</v>
      </c>
      <c r="D225" s="1" t="s">
        <v>1646</v>
      </c>
      <c r="E225" s="1" t="s">
        <v>898</v>
      </c>
      <c r="F225" s="1" t="s">
        <v>1696</v>
      </c>
      <c r="G225" s="1" t="s">
        <v>1585</v>
      </c>
      <c r="H225" s="1" t="s">
        <v>264</v>
      </c>
      <c r="I225" s="1" t="s">
        <v>22</v>
      </c>
      <c r="J225" s="1" t="s">
        <v>23</v>
      </c>
      <c r="K225" s="1" t="s">
        <v>24</v>
      </c>
      <c r="L225" s="1" t="s">
        <v>23</v>
      </c>
      <c r="M225" s="2">
        <v>45155</v>
      </c>
      <c r="N225" s="2" t="s">
        <v>25</v>
      </c>
      <c r="O225" s="2" t="s">
        <v>25</v>
      </c>
      <c r="P225" s="2" t="s">
        <v>25</v>
      </c>
      <c r="Q225" s="1" t="s">
        <v>26</v>
      </c>
      <c r="R225" s="7">
        <v>89103.7</v>
      </c>
      <c r="S225" s="7">
        <v>6364.55</v>
      </c>
      <c r="T225" s="7">
        <v>3366.99</v>
      </c>
      <c r="U225" s="7">
        <v>2162.85</v>
      </c>
      <c r="V225" s="7">
        <v>834.71</v>
      </c>
      <c r="W225" s="10">
        <v>430.74630000000002</v>
      </c>
      <c r="X225" s="10">
        <v>88.671800000000005</v>
      </c>
    </row>
    <row r="226" spans="1:24" x14ac:dyDescent="0.25">
      <c r="A226" t="s">
        <v>899</v>
      </c>
      <c r="B226" t="s">
        <v>900</v>
      </c>
      <c r="C226" s="1" t="s">
        <v>901</v>
      </c>
      <c r="D226" s="1" t="s">
        <v>1646</v>
      </c>
      <c r="E226" s="1" t="s">
        <v>902</v>
      </c>
      <c r="F226" s="1" t="s">
        <v>1696</v>
      </c>
      <c r="G226" s="1" t="s">
        <v>1585</v>
      </c>
      <c r="H226" s="1" t="s">
        <v>122</v>
      </c>
      <c r="I226" s="1" t="s">
        <v>22</v>
      </c>
      <c r="J226" s="1" t="s">
        <v>303</v>
      </c>
      <c r="K226" s="1" t="s">
        <v>33</v>
      </c>
      <c r="L226" s="1" t="s">
        <v>32</v>
      </c>
      <c r="M226" s="2">
        <v>45155</v>
      </c>
      <c r="N226" s="2" t="s">
        <v>25</v>
      </c>
      <c r="O226" s="2" t="s">
        <v>25</v>
      </c>
      <c r="P226" s="2" t="s">
        <v>25</v>
      </c>
      <c r="Q226" s="1" t="s">
        <v>26</v>
      </c>
      <c r="R226" s="7">
        <v>94946.32</v>
      </c>
      <c r="S226" s="7">
        <v>6781.88</v>
      </c>
      <c r="T226" s="7">
        <v>3366.99</v>
      </c>
      <c r="U226" s="7">
        <v>2162.85</v>
      </c>
      <c r="V226" s="7">
        <v>1252.04</v>
      </c>
      <c r="W226" s="10">
        <v>29.552199999999999</v>
      </c>
      <c r="X226" s="10">
        <v>301.84219999999999</v>
      </c>
    </row>
    <row r="227" spans="1:24" x14ac:dyDescent="0.25">
      <c r="A227" t="s">
        <v>903</v>
      </c>
      <c r="B227" t="s">
        <v>904</v>
      </c>
      <c r="C227" s="1" t="s">
        <v>905</v>
      </c>
      <c r="D227" s="1" t="s">
        <v>1647</v>
      </c>
      <c r="E227" s="1" t="s">
        <v>906</v>
      </c>
      <c r="F227" s="1" t="s">
        <v>1696</v>
      </c>
      <c r="G227" s="1" t="s">
        <v>1585</v>
      </c>
      <c r="H227" s="1" t="s">
        <v>479</v>
      </c>
      <c r="I227" s="1" t="s">
        <v>22</v>
      </c>
      <c r="J227" s="1" t="s">
        <v>32</v>
      </c>
      <c r="K227" s="1" t="s">
        <v>33</v>
      </c>
      <c r="L227" s="1" t="s">
        <v>32</v>
      </c>
      <c r="M227" s="2">
        <v>45155</v>
      </c>
      <c r="N227" s="2" t="s">
        <v>25</v>
      </c>
      <c r="O227" s="2" t="s">
        <v>25</v>
      </c>
      <c r="P227" s="2" t="s">
        <v>25</v>
      </c>
      <c r="Q227" s="1" t="s">
        <v>26</v>
      </c>
      <c r="R227" s="7">
        <v>94946.32</v>
      </c>
      <c r="S227" s="7">
        <v>6781.88</v>
      </c>
      <c r="T227" s="7">
        <v>3366.99</v>
      </c>
      <c r="U227" s="7">
        <v>2162.85</v>
      </c>
      <c r="V227" s="7">
        <v>1252.04</v>
      </c>
      <c r="W227" s="10">
        <v>52.835799999999999</v>
      </c>
      <c r="X227" s="10">
        <v>335.87790000000001</v>
      </c>
    </row>
    <row r="228" spans="1:24" x14ac:dyDescent="0.25">
      <c r="A228" t="s">
        <v>167</v>
      </c>
      <c r="B228" t="s">
        <v>907</v>
      </c>
      <c r="C228" s="1" t="s">
        <v>908</v>
      </c>
      <c r="D228" s="1" t="s">
        <v>1646</v>
      </c>
      <c r="E228" s="1" t="s">
        <v>909</v>
      </c>
      <c r="F228" s="1" t="s">
        <v>1696</v>
      </c>
      <c r="G228" s="1" t="s">
        <v>1585</v>
      </c>
      <c r="H228" s="1" t="s">
        <v>40</v>
      </c>
      <c r="I228" s="1" t="s">
        <v>22</v>
      </c>
      <c r="J228" s="1" t="s">
        <v>125</v>
      </c>
      <c r="K228" s="1" t="s">
        <v>124</v>
      </c>
      <c r="L228" s="1" t="s">
        <v>125</v>
      </c>
      <c r="M228" s="2">
        <v>45155</v>
      </c>
      <c r="N228" s="2" t="s">
        <v>25</v>
      </c>
      <c r="O228" s="2" t="s">
        <v>25</v>
      </c>
      <c r="P228" s="2" t="s">
        <v>25</v>
      </c>
      <c r="Q228" s="1" t="s">
        <v>26</v>
      </c>
      <c r="R228" s="7">
        <v>85566.18</v>
      </c>
      <c r="S228" s="7">
        <v>6111.87</v>
      </c>
      <c r="T228" s="7">
        <v>3366.99</v>
      </c>
      <c r="U228" s="7">
        <v>1032.3800000000001</v>
      </c>
      <c r="V228" s="7">
        <v>1712.5</v>
      </c>
      <c r="W228" s="10">
        <v>250.74629999999999</v>
      </c>
      <c r="X228" s="10">
        <v>125.3944</v>
      </c>
    </row>
    <row r="229" spans="1:24" x14ac:dyDescent="0.25">
      <c r="A229" t="s">
        <v>910</v>
      </c>
      <c r="B229" t="s">
        <v>911</v>
      </c>
      <c r="C229" s="1" t="s">
        <v>912</v>
      </c>
      <c r="D229" s="1" t="s">
        <v>1647</v>
      </c>
      <c r="E229" s="1" t="s">
        <v>913</v>
      </c>
      <c r="F229" s="1" t="s">
        <v>1696</v>
      </c>
      <c r="G229" s="1" t="s">
        <v>1585</v>
      </c>
      <c r="H229" s="1" t="s">
        <v>56</v>
      </c>
      <c r="I229" s="1" t="s">
        <v>22</v>
      </c>
      <c r="J229" s="1" t="s">
        <v>125</v>
      </c>
      <c r="K229" s="1" t="s">
        <v>124</v>
      </c>
      <c r="L229" s="1" t="s">
        <v>125</v>
      </c>
      <c r="M229" s="2">
        <v>45155</v>
      </c>
      <c r="N229" s="2" t="s">
        <v>25</v>
      </c>
      <c r="O229" s="2" t="s">
        <v>25</v>
      </c>
      <c r="P229" s="2" t="s">
        <v>25</v>
      </c>
      <c r="Q229" s="1" t="s">
        <v>26</v>
      </c>
      <c r="R229" s="7">
        <v>139710.06</v>
      </c>
      <c r="S229" s="7">
        <v>9979.2900000000009</v>
      </c>
      <c r="T229" s="7">
        <v>3366.99</v>
      </c>
      <c r="U229" s="7">
        <v>2162.85</v>
      </c>
      <c r="V229" s="7">
        <v>4449.45</v>
      </c>
      <c r="W229" s="10">
        <v>203.28360000000001</v>
      </c>
      <c r="X229" s="10">
        <v>157.6387</v>
      </c>
    </row>
    <row r="230" spans="1:24" x14ac:dyDescent="0.25">
      <c r="A230" t="s">
        <v>349</v>
      </c>
      <c r="B230" t="s">
        <v>914</v>
      </c>
      <c r="C230" s="1" t="s">
        <v>915</v>
      </c>
      <c r="D230" s="1" t="s">
        <v>1646</v>
      </c>
      <c r="E230" s="1" t="s">
        <v>916</v>
      </c>
      <c r="F230" s="1" t="s">
        <v>1696</v>
      </c>
      <c r="G230" s="1" t="s">
        <v>1585</v>
      </c>
      <c r="H230" s="1" t="s">
        <v>763</v>
      </c>
      <c r="I230" s="1" t="s">
        <v>22</v>
      </c>
      <c r="J230" s="1" t="s">
        <v>23</v>
      </c>
      <c r="K230" s="1" t="s">
        <v>24</v>
      </c>
      <c r="L230" s="1" t="s">
        <v>23</v>
      </c>
      <c r="M230" s="2">
        <v>45155</v>
      </c>
      <c r="N230" s="2" t="s">
        <v>25</v>
      </c>
      <c r="O230" s="2" t="s">
        <v>25</v>
      </c>
      <c r="P230" s="2" t="s">
        <v>25</v>
      </c>
      <c r="Q230" s="1" t="s">
        <v>26</v>
      </c>
      <c r="R230" s="7">
        <v>89623.7</v>
      </c>
      <c r="S230" s="7">
        <f>6364.55 + 37.14</f>
        <v>6401.6900000000005</v>
      </c>
      <c r="T230" s="7">
        <v>3366.99</v>
      </c>
      <c r="U230" s="7">
        <v>2162.85</v>
      </c>
      <c r="V230" s="7">
        <v>834.71</v>
      </c>
      <c r="W230" s="10">
        <v>422.6866</v>
      </c>
      <c r="X230" s="10">
        <v>77.923699999999997</v>
      </c>
    </row>
    <row r="231" spans="1:24" x14ac:dyDescent="0.25">
      <c r="A231" t="s">
        <v>917</v>
      </c>
      <c r="B231" t="s">
        <v>918</v>
      </c>
      <c r="C231" s="1" t="s">
        <v>919</v>
      </c>
      <c r="D231" s="1" t="s">
        <v>1646</v>
      </c>
      <c r="E231" s="1" t="s">
        <v>920</v>
      </c>
      <c r="F231" s="1" t="s">
        <v>1696</v>
      </c>
      <c r="G231" s="1" t="s">
        <v>1585</v>
      </c>
      <c r="H231" s="1" t="s">
        <v>139</v>
      </c>
      <c r="I231" s="1" t="s">
        <v>22</v>
      </c>
      <c r="J231" s="1" t="s">
        <v>125</v>
      </c>
      <c r="K231" s="1" t="s">
        <v>124</v>
      </c>
      <c r="L231" s="1" t="s">
        <v>125</v>
      </c>
      <c r="M231" s="2">
        <v>45155</v>
      </c>
      <c r="N231" s="2" t="s">
        <v>25</v>
      </c>
      <c r="O231" s="2" t="s">
        <v>25</v>
      </c>
      <c r="P231" s="2" t="s">
        <v>25</v>
      </c>
      <c r="Q231" s="1" t="s">
        <v>26</v>
      </c>
      <c r="R231" s="7">
        <v>94946.32</v>
      </c>
      <c r="S231" s="7">
        <v>6781.88</v>
      </c>
      <c r="T231" s="7">
        <v>3366.99</v>
      </c>
      <c r="U231" s="7">
        <v>2162.85</v>
      </c>
      <c r="V231" s="7">
        <v>1252.04</v>
      </c>
      <c r="W231" s="10">
        <v>188.05969999999999</v>
      </c>
      <c r="X231" s="10">
        <v>111.9593</v>
      </c>
    </row>
    <row r="232" spans="1:24" x14ac:dyDescent="0.25">
      <c r="A232" t="s">
        <v>382</v>
      </c>
      <c r="B232" t="s">
        <v>921</v>
      </c>
      <c r="C232" s="1" t="s">
        <v>922</v>
      </c>
      <c r="D232" s="1" t="s">
        <v>1647</v>
      </c>
      <c r="E232" s="1" t="s">
        <v>923</v>
      </c>
      <c r="F232" s="1" t="s">
        <v>1696</v>
      </c>
      <c r="G232" s="1" t="s">
        <v>1585</v>
      </c>
      <c r="H232" s="1" t="s">
        <v>462</v>
      </c>
      <c r="I232" s="1" t="s">
        <v>22</v>
      </c>
      <c r="J232" s="1" t="s">
        <v>23</v>
      </c>
      <c r="K232" s="1" t="s">
        <v>24</v>
      </c>
      <c r="L232" s="1" t="s">
        <v>23</v>
      </c>
      <c r="M232" s="2">
        <v>45155</v>
      </c>
      <c r="N232" s="2" t="s">
        <v>25</v>
      </c>
      <c r="O232" s="2" t="s">
        <v>25</v>
      </c>
      <c r="P232" s="2" t="s">
        <v>25</v>
      </c>
      <c r="Q232" s="1" t="s">
        <v>26</v>
      </c>
      <c r="R232" s="7">
        <v>89103.7</v>
      </c>
      <c r="S232" s="7">
        <v>6364.55</v>
      </c>
      <c r="T232" s="7">
        <v>3366.99</v>
      </c>
      <c r="U232" s="7">
        <v>2162.85</v>
      </c>
      <c r="V232" s="7">
        <v>834.71</v>
      </c>
      <c r="W232" s="10">
        <v>469.25369999999998</v>
      </c>
      <c r="X232" s="10">
        <v>162.11699999999999</v>
      </c>
    </row>
    <row r="233" spans="1:24" x14ac:dyDescent="0.25">
      <c r="A233" t="s">
        <v>154</v>
      </c>
      <c r="B233" t="s">
        <v>924</v>
      </c>
      <c r="C233" s="1" t="s">
        <v>925</v>
      </c>
      <c r="D233" s="1" t="s">
        <v>1647</v>
      </c>
      <c r="E233" s="1" t="s">
        <v>926</v>
      </c>
      <c r="F233" s="1" t="s">
        <v>1696</v>
      </c>
      <c r="G233" s="1" t="s">
        <v>1585</v>
      </c>
      <c r="H233" s="1" t="s">
        <v>31</v>
      </c>
      <c r="I233" s="1" t="s">
        <v>22</v>
      </c>
      <c r="J233" s="1" t="s">
        <v>32</v>
      </c>
      <c r="K233" s="1" t="s">
        <v>33</v>
      </c>
      <c r="L233" s="1" t="s">
        <v>32</v>
      </c>
      <c r="M233" s="2">
        <v>45155</v>
      </c>
      <c r="N233" s="2" t="s">
        <v>25</v>
      </c>
      <c r="O233" s="2" t="s">
        <v>25</v>
      </c>
      <c r="P233" s="2" t="s">
        <v>25</v>
      </c>
      <c r="Q233" s="1" t="s">
        <v>26</v>
      </c>
      <c r="R233" s="7">
        <v>101392.76</v>
      </c>
      <c r="S233" s="7">
        <v>7242.34</v>
      </c>
      <c r="T233" s="7">
        <v>3366.99</v>
      </c>
      <c r="U233" s="7">
        <v>2162.85</v>
      </c>
      <c r="V233" s="7">
        <v>1712.5</v>
      </c>
      <c r="W233" s="10">
        <v>92.238799999999998</v>
      </c>
      <c r="X233" s="10">
        <v>152.2646</v>
      </c>
    </row>
    <row r="234" spans="1:24" x14ac:dyDescent="0.25">
      <c r="A234" t="s">
        <v>927</v>
      </c>
      <c r="B234" t="s">
        <v>928</v>
      </c>
      <c r="C234" s="1" t="s">
        <v>929</v>
      </c>
      <c r="D234" s="1" t="s">
        <v>1646</v>
      </c>
      <c r="E234" s="1" t="s">
        <v>930</v>
      </c>
      <c r="F234" s="1" t="s">
        <v>1696</v>
      </c>
      <c r="G234" s="1" t="s">
        <v>1585</v>
      </c>
      <c r="H234" s="1" t="s">
        <v>285</v>
      </c>
      <c r="I234" s="1" t="s">
        <v>22</v>
      </c>
      <c r="J234" s="1" t="s">
        <v>32</v>
      </c>
      <c r="K234" s="1" t="s">
        <v>33</v>
      </c>
      <c r="L234" s="1" t="s">
        <v>32</v>
      </c>
      <c r="M234" s="2">
        <v>45155</v>
      </c>
      <c r="N234" s="2" t="s">
        <v>25</v>
      </c>
      <c r="O234" s="2" t="s">
        <v>25</v>
      </c>
      <c r="P234" s="2" t="s">
        <v>25</v>
      </c>
      <c r="Q234" s="1" t="s">
        <v>26</v>
      </c>
      <c r="R234" s="7">
        <v>101392.76</v>
      </c>
      <c r="S234" s="7">
        <v>7242.34</v>
      </c>
      <c r="T234" s="7">
        <v>3366.99</v>
      </c>
      <c r="U234" s="7">
        <v>2162.85</v>
      </c>
      <c r="V234" s="7">
        <v>1712.5</v>
      </c>
      <c r="W234" s="10">
        <v>121.791</v>
      </c>
      <c r="X234" s="10">
        <v>226.60560000000001</v>
      </c>
    </row>
    <row r="235" spans="1:24" x14ac:dyDescent="0.25">
      <c r="A235" t="s">
        <v>931</v>
      </c>
      <c r="B235" t="s">
        <v>932</v>
      </c>
      <c r="C235" s="1" t="s">
        <v>933</v>
      </c>
      <c r="D235" s="1" t="s">
        <v>1647</v>
      </c>
      <c r="E235" s="1" t="s">
        <v>934</v>
      </c>
      <c r="F235" s="1" t="s">
        <v>1696</v>
      </c>
      <c r="G235" s="1" t="s">
        <v>1585</v>
      </c>
      <c r="H235" s="1" t="s">
        <v>872</v>
      </c>
      <c r="I235" s="1" t="s">
        <v>22</v>
      </c>
      <c r="J235" s="1" t="s">
        <v>32</v>
      </c>
      <c r="K235" s="1" t="s">
        <v>33</v>
      </c>
      <c r="L235" s="1" t="s">
        <v>32</v>
      </c>
      <c r="M235" s="2">
        <v>45155</v>
      </c>
      <c r="N235" s="2" t="s">
        <v>25</v>
      </c>
      <c r="O235" s="2" t="s">
        <v>25</v>
      </c>
      <c r="P235" s="2" t="s">
        <v>25</v>
      </c>
      <c r="Q235" s="1" t="s">
        <v>26</v>
      </c>
      <c r="R235" s="7">
        <v>94946.32</v>
      </c>
      <c r="S235" s="7">
        <v>6781.88</v>
      </c>
      <c r="T235" s="7">
        <v>3366.99</v>
      </c>
      <c r="U235" s="7">
        <v>2162.85</v>
      </c>
      <c r="V235" s="7">
        <v>1252.04</v>
      </c>
      <c r="W235" s="10">
        <v>142.38810000000001</v>
      </c>
      <c r="X235" s="10">
        <v>133.4555</v>
      </c>
    </row>
    <row r="236" spans="1:24" x14ac:dyDescent="0.25">
      <c r="A236" t="s">
        <v>935</v>
      </c>
      <c r="B236" t="s">
        <v>936</v>
      </c>
      <c r="C236" s="1" t="s">
        <v>937</v>
      </c>
      <c r="D236" s="1" t="s">
        <v>1646</v>
      </c>
      <c r="E236" s="1" t="s">
        <v>938</v>
      </c>
      <c r="F236" s="1" t="s">
        <v>1696</v>
      </c>
      <c r="G236" s="1" t="s">
        <v>1585</v>
      </c>
      <c r="H236" s="1" t="s">
        <v>144</v>
      </c>
      <c r="I236" s="1" t="s">
        <v>22</v>
      </c>
      <c r="J236" s="1" t="s">
        <v>32</v>
      </c>
      <c r="K236" s="1" t="s">
        <v>33</v>
      </c>
      <c r="L236" s="1" t="s">
        <v>32</v>
      </c>
      <c r="M236" s="2">
        <v>45155</v>
      </c>
      <c r="N236" s="2">
        <v>45631</v>
      </c>
      <c r="O236" s="2" t="s">
        <v>25</v>
      </c>
      <c r="P236" s="1" t="s">
        <v>1197</v>
      </c>
      <c r="Q236" s="1" t="s">
        <v>35</v>
      </c>
      <c r="R236" s="7">
        <v>71897</v>
      </c>
      <c r="S236" s="7">
        <v>5135.5</v>
      </c>
      <c r="T236" s="7">
        <v>3142.14</v>
      </c>
      <c r="U236" s="7">
        <v>2018.41</v>
      </c>
      <c r="V236" s="7">
        <v>0</v>
      </c>
      <c r="W236" s="10">
        <v>5.3731</v>
      </c>
      <c r="X236" s="10">
        <v>200.631</v>
      </c>
    </row>
    <row r="237" spans="1:24" x14ac:dyDescent="0.25">
      <c r="A237" t="s">
        <v>939</v>
      </c>
      <c r="B237" t="s">
        <v>940</v>
      </c>
      <c r="C237" s="1" t="s">
        <v>941</v>
      </c>
      <c r="D237" s="1" t="s">
        <v>1646</v>
      </c>
      <c r="E237" s="1" t="s">
        <v>942</v>
      </c>
      <c r="F237" s="1" t="s">
        <v>1696</v>
      </c>
      <c r="G237" s="1" t="s">
        <v>1585</v>
      </c>
      <c r="H237" s="1" t="s">
        <v>139</v>
      </c>
      <c r="I237" s="1" t="s">
        <v>22</v>
      </c>
      <c r="J237" s="1" t="s">
        <v>80</v>
      </c>
      <c r="K237" s="1" t="s">
        <v>81</v>
      </c>
      <c r="L237" s="1" t="s">
        <v>80</v>
      </c>
      <c r="M237" s="2">
        <v>45155</v>
      </c>
      <c r="N237" s="2" t="s">
        <v>25</v>
      </c>
      <c r="O237" s="2" t="s">
        <v>25</v>
      </c>
      <c r="P237" s="2" t="s">
        <v>25</v>
      </c>
      <c r="Q237" s="1" t="s">
        <v>26</v>
      </c>
      <c r="R237" s="7">
        <v>129905.02</v>
      </c>
      <c r="S237" s="7">
        <v>9278.93</v>
      </c>
      <c r="T237" s="7">
        <v>3366.99</v>
      </c>
      <c r="U237" s="7">
        <v>2162.85</v>
      </c>
      <c r="V237" s="7">
        <v>3749.09</v>
      </c>
      <c r="W237" s="10">
        <v>170.14930000000001</v>
      </c>
      <c r="X237" s="10">
        <v>89.567400000000006</v>
      </c>
    </row>
    <row r="238" spans="1:24" x14ac:dyDescent="0.25">
      <c r="A238" t="s">
        <v>200</v>
      </c>
      <c r="B238" t="s">
        <v>943</v>
      </c>
      <c r="C238" s="1" t="s">
        <v>944</v>
      </c>
      <c r="D238" s="1" t="s">
        <v>1646</v>
      </c>
      <c r="E238" s="1" t="s">
        <v>945</v>
      </c>
      <c r="F238" s="1" t="s">
        <v>1696</v>
      </c>
      <c r="G238" s="1" t="s">
        <v>1585</v>
      </c>
      <c r="H238" s="1" t="s">
        <v>421</v>
      </c>
      <c r="I238" s="1" t="s">
        <v>22</v>
      </c>
      <c r="J238" s="1" t="s">
        <v>32</v>
      </c>
      <c r="K238" s="1" t="s">
        <v>33</v>
      </c>
      <c r="L238" s="1" t="s">
        <v>32</v>
      </c>
      <c r="M238" s="2">
        <v>45155</v>
      </c>
      <c r="N238" s="2" t="s">
        <v>25</v>
      </c>
      <c r="O238" s="1" t="s">
        <v>1155</v>
      </c>
      <c r="P238" s="2" t="s">
        <v>25</v>
      </c>
      <c r="Q238" s="1" t="s">
        <v>26</v>
      </c>
      <c r="R238" s="7">
        <v>94946.32</v>
      </c>
      <c r="S238" s="7">
        <v>6781.88</v>
      </c>
      <c r="T238" s="7">
        <v>3366.99</v>
      </c>
      <c r="U238" s="7">
        <v>2162.85</v>
      </c>
      <c r="V238" s="7">
        <v>1252.04</v>
      </c>
      <c r="W238" s="10">
        <v>86.865700000000004</v>
      </c>
      <c r="X238" s="10">
        <v>113.75060000000001</v>
      </c>
    </row>
    <row r="239" spans="1:24" x14ac:dyDescent="0.25">
      <c r="A239" t="s">
        <v>946</v>
      </c>
      <c r="B239" t="s">
        <v>947</v>
      </c>
      <c r="C239" s="1" t="s">
        <v>948</v>
      </c>
      <c r="D239" s="1" t="s">
        <v>1646</v>
      </c>
      <c r="E239" s="1" t="s">
        <v>949</v>
      </c>
      <c r="F239" s="1" t="s">
        <v>1696</v>
      </c>
      <c r="G239" s="1" t="s">
        <v>1585</v>
      </c>
      <c r="H239" s="1" t="s">
        <v>108</v>
      </c>
      <c r="I239" s="1" t="s">
        <v>22</v>
      </c>
      <c r="J239" s="1" t="s">
        <v>32</v>
      </c>
      <c r="K239" s="1" t="s">
        <v>33</v>
      </c>
      <c r="L239" s="1" t="s">
        <v>32</v>
      </c>
      <c r="M239" s="2">
        <v>45155</v>
      </c>
      <c r="N239" s="2" t="s">
        <v>25</v>
      </c>
      <c r="O239" s="2" t="s">
        <v>25</v>
      </c>
      <c r="P239" s="2" t="s">
        <v>25</v>
      </c>
      <c r="Q239" s="1" t="s">
        <v>26</v>
      </c>
      <c r="R239" s="7">
        <v>89103.7</v>
      </c>
      <c r="S239" s="7">
        <v>6364.55</v>
      </c>
      <c r="T239" s="7">
        <v>3366.99</v>
      </c>
      <c r="U239" s="7">
        <v>2162.85</v>
      </c>
      <c r="V239" s="7">
        <v>834.71</v>
      </c>
      <c r="W239" s="10">
        <v>6.2686999999999999</v>
      </c>
      <c r="X239" s="10">
        <v>335.87790000000001</v>
      </c>
    </row>
    <row r="240" spans="1:24" x14ac:dyDescent="0.25">
      <c r="A240" t="s">
        <v>950</v>
      </c>
      <c r="B240" t="s">
        <v>951</v>
      </c>
      <c r="C240" s="1" t="s">
        <v>952</v>
      </c>
      <c r="D240" s="1" t="s">
        <v>1647</v>
      </c>
      <c r="E240" s="1" t="s">
        <v>953</v>
      </c>
      <c r="F240" s="1" t="s">
        <v>1696</v>
      </c>
      <c r="G240" s="1" t="s">
        <v>1585</v>
      </c>
      <c r="H240" s="1" t="s">
        <v>67</v>
      </c>
      <c r="I240" s="1" t="s">
        <v>22</v>
      </c>
      <c r="J240" s="1" t="s">
        <v>41</v>
      </c>
      <c r="K240" s="1" t="s">
        <v>42</v>
      </c>
      <c r="L240" s="1" t="s">
        <v>41</v>
      </c>
      <c r="M240" s="2">
        <v>45155</v>
      </c>
      <c r="N240" s="2" t="s">
        <v>25</v>
      </c>
      <c r="O240" s="2" t="s">
        <v>25</v>
      </c>
      <c r="P240" s="2" t="s">
        <v>25</v>
      </c>
      <c r="Q240" s="1" t="s">
        <v>26</v>
      </c>
      <c r="R240" s="7">
        <v>94946.32</v>
      </c>
      <c r="S240" s="7">
        <v>6781.88</v>
      </c>
      <c r="T240" s="7">
        <v>3366.99</v>
      </c>
      <c r="U240" s="7">
        <v>2162.85</v>
      </c>
      <c r="V240" s="7">
        <v>1252.04</v>
      </c>
      <c r="W240" s="10">
        <v>170.14930000000001</v>
      </c>
      <c r="X240" s="10">
        <v>37.618299999999998</v>
      </c>
    </row>
    <row r="241" spans="1:24" x14ac:dyDescent="0.25">
      <c r="A241" t="s">
        <v>927</v>
      </c>
      <c r="B241" t="s">
        <v>954</v>
      </c>
      <c r="C241" s="1" t="s">
        <v>955</v>
      </c>
      <c r="D241" s="1" t="s">
        <v>1646</v>
      </c>
      <c r="E241" s="1" t="s">
        <v>956</v>
      </c>
      <c r="F241" s="1" t="s">
        <v>1696</v>
      </c>
      <c r="G241" s="1" t="s">
        <v>1585</v>
      </c>
      <c r="H241" s="1" t="s">
        <v>213</v>
      </c>
      <c r="I241" s="1" t="s">
        <v>22</v>
      </c>
      <c r="J241" s="1" t="s">
        <v>23</v>
      </c>
      <c r="K241" s="1" t="s">
        <v>24</v>
      </c>
      <c r="L241" s="1" t="s">
        <v>23</v>
      </c>
      <c r="M241" s="2">
        <v>45155</v>
      </c>
      <c r="N241" s="2" t="s">
        <v>25</v>
      </c>
      <c r="O241" s="2" t="s">
        <v>25</v>
      </c>
      <c r="P241" s="2" t="s">
        <v>25</v>
      </c>
      <c r="Q241" s="1" t="s">
        <v>26</v>
      </c>
      <c r="R241" s="7">
        <v>94946.32</v>
      </c>
      <c r="S241" s="7">
        <v>6781.88</v>
      </c>
      <c r="T241" s="7">
        <v>3366.99</v>
      </c>
      <c r="U241" s="7">
        <v>2162.85</v>
      </c>
      <c r="V241" s="7">
        <v>1252.04</v>
      </c>
      <c r="W241" s="10">
        <v>451.3433</v>
      </c>
      <c r="X241" s="10">
        <v>192.57</v>
      </c>
    </row>
    <row r="242" spans="1:24" x14ac:dyDescent="0.25">
      <c r="A242" t="s">
        <v>957</v>
      </c>
      <c r="B242" t="s">
        <v>958</v>
      </c>
      <c r="C242" s="1" t="s">
        <v>959</v>
      </c>
      <c r="D242" s="1" t="s">
        <v>1647</v>
      </c>
      <c r="E242" s="1" t="s">
        <v>960</v>
      </c>
      <c r="F242" s="1" t="s">
        <v>1696</v>
      </c>
      <c r="G242" s="1" t="s">
        <v>1585</v>
      </c>
      <c r="H242" s="1" t="s">
        <v>122</v>
      </c>
      <c r="I242" s="1" t="s">
        <v>22</v>
      </c>
      <c r="J242" s="1" t="s">
        <v>303</v>
      </c>
      <c r="K242" s="1" t="s">
        <v>33</v>
      </c>
      <c r="L242" s="1" t="s">
        <v>32</v>
      </c>
      <c r="M242" s="2">
        <v>45155</v>
      </c>
      <c r="N242" s="2" t="s">
        <v>25</v>
      </c>
      <c r="O242" s="2" t="s">
        <v>25</v>
      </c>
      <c r="P242" s="2" t="s">
        <v>25</v>
      </c>
      <c r="Q242" s="1" t="s">
        <v>26</v>
      </c>
      <c r="R242" s="7">
        <v>94946.32</v>
      </c>
      <c r="S242" s="7">
        <v>6781.88</v>
      </c>
      <c r="T242" s="7">
        <v>3366.99</v>
      </c>
      <c r="U242" s="7">
        <v>2162.85</v>
      </c>
      <c r="V242" s="7">
        <v>1252.04</v>
      </c>
      <c r="W242" s="10">
        <v>50.149299999999997</v>
      </c>
      <c r="X242" s="10">
        <v>248.1018</v>
      </c>
    </row>
    <row r="243" spans="1:24" x14ac:dyDescent="0.25">
      <c r="A243" t="s">
        <v>961</v>
      </c>
      <c r="B243" t="s">
        <v>962</v>
      </c>
      <c r="C243" s="1" t="s">
        <v>963</v>
      </c>
      <c r="D243" s="1" t="s">
        <v>1647</v>
      </c>
      <c r="E243" s="1" t="s">
        <v>964</v>
      </c>
      <c r="F243" s="1" t="s">
        <v>1696</v>
      </c>
      <c r="G243" s="1" t="s">
        <v>1585</v>
      </c>
      <c r="H243" s="1" t="s">
        <v>285</v>
      </c>
      <c r="I243" s="1" t="s">
        <v>22</v>
      </c>
      <c r="J243" s="1" t="s">
        <v>41</v>
      </c>
      <c r="K243" s="1" t="s">
        <v>42</v>
      </c>
      <c r="L243" s="1" t="s">
        <v>41</v>
      </c>
      <c r="M243" s="2">
        <v>45155</v>
      </c>
      <c r="N243" s="2" t="s">
        <v>25</v>
      </c>
      <c r="O243" s="2" t="s">
        <v>25</v>
      </c>
      <c r="P243" s="2" t="s">
        <v>25</v>
      </c>
      <c r="Q243" s="1" t="s">
        <v>26</v>
      </c>
      <c r="R243" s="7">
        <v>94946.32</v>
      </c>
      <c r="S243" s="7">
        <v>6781.88</v>
      </c>
      <c r="T243" s="7">
        <v>3366.99</v>
      </c>
      <c r="U243" s="7">
        <v>2162.85</v>
      </c>
      <c r="V243" s="7">
        <v>1252.04</v>
      </c>
      <c r="W243" s="10">
        <v>260.59699999999998</v>
      </c>
      <c r="X243" s="10">
        <v>51.949100000000001</v>
      </c>
    </row>
    <row r="244" spans="1:24" x14ac:dyDescent="0.25">
      <c r="A244" t="s">
        <v>965</v>
      </c>
      <c r="B244" t="s">
        <v>966</v>
      </c>
      <c r="C244" s="1" t="s">
        <v>967</v>
      </c>
      <c r="D244" s="1" t="s">
        <v>1646</v>
      </c>
      <c r="E244" s="1" t="s">
        <v>968</v>
      </c>
      <c r="F244" s="1" t="s">
        <v>1696</v>
      </c>
      <c r="G244" s="1" t="s">
        <v>1585</v>
      </c>
      <c r="H244" s="1" t="s">
        <v>194</v>
      </c>
      <c r="I244" s="1" t="s">
        <v>22</v>
      </c>
      <c r="J244" s="1" t="s">
        <v>32</v>
      </c>
      <c r="K244" s="1" t="s">
        <v>33</v>
      </c>
      <c r="L244" s="1" t="s">
        <v>32</v>
      </c>
      <c r="M244" s="2">
        <v>45155</v>
      </c>
      <c r="N244" s="2" t="s">
        <v>25</v>
      </c>
      <c r="O244" s="2" t="s">
        <v>25</v>
      </c>
      <c r="P244" s="2" t="s">
        <v>25</v>
      </c>
      <c r="Q244" s="1" t="s">
        <v>26</v>
      </c>
      <c r="R244" s="7">
        <v>94946.32</v>
      </c>
      <c r="S244" s="7">
        <v>6781.88</v>
      </c>
      <c r="T244" s="7">
        <v>3366.99</v>
      </c>
      <c r="U244" s="7">
        <v>2162.85</v>
      </c>
      <c r="V244" s="7">
        <v>1252.04</v>
      </c>
      <c r="W244" s="10">
        <v>56.417900000000003</v>
      </c>
      <c r="X244" s="10">
        <v>175.5522</v>
      </c>
    </row>
    <row r="245" spans="1:24" x14ac:dyDescent="0.25">
      <c r="A245" t="s">
        <v>96</v>
      </c>
      <c r="B245" t="s">
        <v>969</v>
      </c>
      <c r="C245" s="1" t="s">
        <v>970</v>
      </c>
      <c r="D245" s="1" t="s">
        <v>1646</v>
      </c>
      <c r="E245" s="1" t="s">
        <v>971</v>
      </c>
      <c r="F245" s="1" t="s">
        <v>1696</v>
      </c>
      <c r="G245" s="1" t="s">
        <v>1585</v>
      </c>
      <c r="H245" s="1" t="s">
        <v>487</v>
      </c>
      <c r="I245" s="1" t="s">
        <v>22</v>
      </c>
      <c r="J245" s="1" t="s">
        <v>23</v>
      </c>
      <c r="K245" s="1" t="s">
        <v>24</v>
      </c>
      <c r="L245" s="1" t="s">
        <v>23</v>
      </c>
      <c r="M245" s="2">
        <v>45155</v>
      </c>
      <c r="N245" s="2" t="s">
        <v>25</v>
      </c>
      <c r="O245" s="2" t="s">
        <v>25</v>
      </c>
      <c r="P245" s="2" t="s">
        <v>25</v>
      </c>
      <c r="Q245" s="1" t="s">
        <v>26</v>
      </c>
      <c r="R245" s="7">
        <v>94946.32</v>
      </c>
      <c r="S245" s="7">
        <v>6781.88</v>
      </c>
      <c r="T245" s="7">
        <v>3366.99</v>
      </c>
      <c r="U245" s="7">
        <v>2162.85</v>
      </c>
      <c r="V245" s="7">
        <v>1252.04</v>
      </c>
      <c r="W245" s="10">
        <v>368.05970000000002</v>
      </c>
      <c r="X245" s="10">
        <v>91.358800000000002</v>
      </c>
    </row>
    <row r="246" spans="1:24" x14ac:dyDescent="0.25">
      <c r="A246" t="s">
        <v>972</v>
      </c>
      <c r="B246" t="s">
        <v>973</v>
      </c>
      <c r="C246" s="1" t="s">
        <v>974</v>
      </c>
      <c r="D246" s="1" t="s">
        <v>1646</v>
      </c>
      <c r="E246" s="1" t="s">
        <v>975</v>
      </c>
      <c r="F246" s="1" t="s">
        <v>1696</v>
      </c>
      <c r="G246" s="1" t="s">
        <v>1585</v>
      </c>
      <c r="H246" s="1" t="s">
        <v>194</v>
      </c>
      <c r="I246" s="1" t="s">
        <v>22</v>
      </c>
      <c r="J246" s="1" t="s">
        <v>23</v>
      </c>
      <c r="K246" s="1" t="s">
        <v>24</v>
      </c>
      <c r="L246" s="1" t="s">
        <v>23</v>
      </c>
      <c r="M246" s="2">
        <v>45155</v>
      </c>
      <c r="N246" s="2" t="s">
        <v>25</v>
      </c>
      <c r="O246" s="2" t="s">
        <v>25</v>
      </c>
      <c r="P246" s="2" t="s">
        <v>25</v>
      </c>
      <c r="Q246" s="1" t="s">
        <v>26</v>
      </c>
      <c r="R246" s="7">
        <v>94946.32</v>
      </c>
      <c r="S246" s="7">
        <v>6781.88</v>
      </c>
      <c r="T246" s="7">
        <v>3366.99</v>
      </c>
      <c r="U246" s="7">
        <v>2162.85</v>
      </c>
      <c r="V246" s="7">
        <v>1252.04</v>
      </c>
      <c r="W246" s="10">
        <v>237.3134</v>
      </c>
      <c r="X246" s="10">
        <v>25.974599999999999</v>
      </c>
    </row>
    <row r="247" spans="1:24" x14ac:dyDescent="0.25">
      <c r="A247" t="s">
        <v>976</v>
      </c>
      <c r="B247" t="s">
        <v>977</v>
      </c>
      <c r="C247" s="1" t="s">
        <v>978</v>
      </c>
      <c r="D247" s="1" t="s">
        <v>1647</v>
      </c>
      <c r="E247" s="1" t="s">
        <v>979</v>
      </c>
      <c r="F247" s="1" t="s">
        <v>1696</v>
      </c>
      <c r="G247" s="1" t="s">
        <v>1585</v>
      </c>
      <c r="H247" s="1" t="s">
        <v>31</v>
      </c>
      <c r="I247" s="1" t="s">
        <v>22</v>
      </c>
      <c r="J247" s="1" t="s">
        <v>125</v>
      </c>
      <c r="K247" s="1" t="s">
        <v>124</v>
      </c>
      <c r="L247" s="1" t="s">
        <v>34</v>
      </c>
      <c r="M247" s="2">
        <v>45155</v>
      </c>
      <c r="N247" s="2" t="s">
        <v>25</v>
      </c>
      <c r="O247" s="2" t="s">
        <v>25</v>
      </c>
      <c r="P247" s="2" t="s">
        <v>25</v>
      </c>
      <c r="Q247" s="1" t="s">
        <v>26</v>
      </c>
      <c r="R247" s="7">
        <v>94946.32</v>
      </c>
      <c r="S247" s="7">
        <v>6781.88</v>
      </c>
      <c r="T247" s="7">
        <v>3366.99</v>
      </c>
      <c r="U247" s="7">
        <v>2162.85</v>
      </c>
      <c r="V247" s="7">
        <v>1252.04</v>
      </c>
      <c r="W247" s="10">
        <v>238.209</v>
      </c>
      <c r="X247" s="10">
        <v>73.445300000000003</v>
      </c>
    </row>
    <row r="248" spans="1:24" x14ac:dyDescent="0.25">
      <c r="A248" t="s">
        <v>980</v>
      </c>
      <c r="B248" t="s">
        <v>981</v>
      </c>
      <c r="C248" s="1" t="s">
        <v>982</v>
      </c>
      <c r="D248" s="1" t="s">
        <v>1647</v>
      </c>
      <c r="E248" s="1" t="s">
        <v>983</v>
      </c>
      <c r="F248" s="1" t="s">
        <v>1696</v>
      </c>
      <c r="G248" s="1" t="s">
        <v>1585</v>
      </c>
      <c r="H248" s="1" t="s">
        <v>620</v>
      </c>
      <c r="I248" s="1" t="s">
        <v>22</v>
      </c>
      <c r="J248" s="1" t="s">
        <v>32</v>
      </c>
      <c r="K248" s="1" t="s">
        <v>33</v>
      </c>
      <c r="L248" s="1" t="s">
        <v>32</v>
      </c>
      <c r="M248" s="2">
        <v>45155</v>
      </c>
      <c r="N248" s="2" t="s">
        <v>25</v>
      </c>
      <c r="O248" s="2" t="s">
        <v>25</v>
      </c>
      <c r="P248" s="2" t="s">
        <v>25</v>
      </c>
      <c r="Q248" s="1" t="s">
        <v>26</v>
      </c>
      <c r="R248" s="7">
        <v>129905.02</v>
      </c>
      <c r="S248" s="7">
        <v>9278.93</v>
      </c>
      <c r="T248" s="7">
        <v>3366.99</v>
      </c>
      <c r="U248" s="7">
        <v>2162.85</v>
      </c>
      <c r="V248" s="7">
        <v>3749.09</v>
      </c>
      <c r="W248" s="10">
        <v>145.0746</v>
      </c>
      <c r="X248" s="10">
        <v>258.84989999999999</v>
      </c>
    </row>
    <row r="249" spans="1:24" x14ac:dyDescent="0.25">
      <c r="A249" t="s">
        <v>847</v>
      </c>
      <c r="B249" t="s">
        <v>984</v>
      </c>
      <c r="C249" s="1" t="s">
        <v>985</v>
      </c>
      <c r="D249" s="1" t="s">
        <v>1646</v>
      </c>
      <c r="E249" s="1" t="s">
        <v>986</v>
      </c>
      <c r="F249" s="1" t="s">
        <v>1696</v>
      </c>
      <c r="G249" s="1" t="s">
        <v>1585</v>
      </c>
      <c r="H249" s="1" t="s">
        <v>585</v>
      </c>
      <c r="I249" s="1" t="s">
        <v>22</v>
      </c>
      <c r="J249" s="1" t="s">
        <v>32</v>
      </c>
      <c r="K249" s="1" t="s">
        <v>33</v>
      </c>
      <c r="L249" s="1" t="s">
        <v>32</v>
      </c>
      <c r="M249" s="2">
        <v>45155</v>
      </c>
      <c r="N249" s="2">
        <v>45391</v>
      </c>
      <c r="O249" s="2" t="s">
        <v>25</v>
      </c>
      <c r="P249" s="1" t="s">
        <v>583</v>
      </c>
      <c r="Q249" s="1" t="s">
        <v>35</v>
      </c>
      <c r="R249" s="7">
        <f>28257.74 + 79415.16</f>
        <v>107672.90000000001</v>
      </c>
      <c r="S249" s="7">
        <v>6617.93</v>
      </c>
      <c r="T249" s="7">
        <v>3366.99</v>
      </c>
      <c r="U249" s="7">
        <v>2018.41</v>
      </c>
      <c r="V249" s="7">
        <v>0</v>
      </c>
      <c r="W249" s="10">
        <v>33.134300000000003</v>
      </c>
      <c r="X249" s="10">
        <v>171.96950000000001</v>
      </c>
    </row>
    <row r="250" spans="1:24" x14ac:dyDescent="0.25">
      <c r="A250" t="s">
        <v>987</v>
      </c>
      <c r="B250" t="s">
        <v>988</v>
      </c>
      <c r="C250" s="1" t="s">
        <v>989</v>
      </c>
      <c r="D250" s="1" t="s">
        <v>1647</v>
      </c>
      <c r="E250" s="1" t="s">
        <v>990</v>
      </c>
      <c r="F250" s="1" t="s">
        <v>1696</v>
      </c>
      <c r="G250" s="1" t="s">
        <v>1585</v>
      </c>
      <c r="H250" s="1" t="s">
        <v>144</v>
      </c>
      <c r="I250" s="1" t="s">
        <v>22</v>
      </c>
      <c r="J250" s="1" t="s">
        <v>23</v>
      </c>
      <c r="K250" s="1" t="s">
        <v>24</v>
      </c>
      <c r="L250" s="1" t="s">
        <v>23</v>
      </c>
      <c r="M250" s="2">
        <v>45547</v>
      </c>
      <c r="N250" s="2" t="s">
        <v>25</v>
      </c>
      <c r="O250" s="1" t="s">
        <v>160</v>
      </c>
      <c r="P250" s="2" t="s">
        <v>25</v>
      </c>
      <c r="Q250" s="1" t="s">
        <v>26</v>
      </c>
      <c r="R250" s="7">
        <v>89103.7</v>
      </c>
      <c r="S250" s="7">
        <v>6364.55</v>
      </c>
      <c r="T250" s="7">
        <v>3366.99</v>
      </c>
      <c r="U250" s="7">
        <v>2162.85</v>
      </c>
      <c r="V250" s="7">
        <v>834.71</v>
      </c>
      <c r="W250" s="10">
        <v>412.83580000000001</v>
      </c>
      <c r="X250" s="10">
        <v>68.071200000000005</v>
      </c>
    </row>
    <row r="251" spans="1:24" x14ac:dyDescent="0.25">
      <c r="A251" t="s">
        <v>991</v>
      </c>
      <c r="B251" t="s">
        <v>992</v>
      </c>
      <c r="C251" s="1" t="s">
        <v>993</v>
      </c>
      <c r="D251" s="1" t="s">
        <v>1647</v>
      </c>
      <c r="E251" s="1" t="s">
        <v>994</v>
      </c>
      <c r="F251" s="1" t="s">
        <v>1696</v>
      </c>
      <c r="G251" s="1" t="s">
        <v>1585</v>
      </c>
      <c r="H251" s="1" t="s">
        <v>751</v>
      </c>
      <c r="I251" s="1" t="s">
        <v>22</v>
      </c>
      <c r="J251" s="1" t="s">
        <v>23</v>
      </c>
      <c r="K251" s="1" t="s">
        <v>24</v>
      </c>
      <c r="L251" s="1" t="s">
        <v>23</v>
      </c>
      <c r="M251" s="2">
        <v>45155</v>
      </c>
      <c r="N251" s="2" t="s">
        <v>25</v>
      </c>
      <c r="O251" s="2" t="s">
        <v>25</v>
      </c>
      <c r="P251" s="2" t="s">
        <v>25</v>
      </c>
      <c r="Q251" s="1" t="s">
        <v>26</v>
      </c>
      <c r="R251" s="7">
        <v>101392.76</v>
      </c>
      <c r="S251" s="7">
        <v>7242.34</v>
      </c>
      <c r="T251" s="7">
        <v>3366.99</v>
      </c>
      <c r="U251" s="7">
        <v>2162.85</v>
      </c>
      <c r="V251" s="7">
        <v>1712.5</v>
      </c>
      <c r="W251" s="10">
        <v>405.67160000000001</v>
      </c>
      <c r="X251" s="10">
        <v>270.49360000000001</v>
      </c>
    </row>
    <row r="252" spans="1:24" x14ac:dyDescent="0.25">
      <c r="A252" t="s">
        <v>995</v>
      </c>
      <c r="B252" t="s">
        <v>996</v>
      </c>
      <c r="C252" s="1" t="s">
        <v>997</v>
      </c>
      <c r="D252" s="1" t="s">
        <v>1646</v>
      </c>
      <c r="E252" s="1" t="s">
        <v>998</v>
      </c>
      <c r="F252" s="1" t="s">
        <v>1696</v>
      </c>
      <c r="G252" s="1" t="s">
        <v>1585</v>
      </c>
      <c r="H252" s="1" t="s">
        <v>40</v>
      </c>
      <c r="I252" s="1" t="s">
        <v>22</v>
      </c>
      <c r="J252" s="1" t="s">
        <v>32</v>
      </c>
      <c r="K252" s="1" t="s">
        <v>33</v>
      </c>
      <c r="L252" s="1" t="s">
        <v>32</v>
      </c>
      <c r="M252" s="2">
        <v>45552</v>
      </c>
      <c r="N252" s="2" t="s">
        <v>25</v>
      </c>
      <c r="O252" s="1" t="s">
        <v>650</v>
      </c>
      <c r="P252" s="2" t="s">
        <v>25</v>
      </c>
      <c r="Q252" s="1" t="s">
        <v>26</v>
      </c>
      <c r="R252" s="7">
        <v>79119.740000000005</v>
      </c>
      <c r="S252" s="7">
        <v>5651.41</v>
      </c>
      <c r="T252" s="7">
        <v>3366.99</v>
      </c>
      <c r="U252" s="7">
        <v>1032.3800000000001</v>
      </c>
      <c r="V252" s="7">
        <v>1252.04</v>
      </c>
      <c r="W252" s="10">
        <v>77.014899999999997</v>
      </c>
      <c r="X252" s="10">
        <v>59.1145</v>
      </c>
    </row>
    <row r="253" spans="1:24" x14ac:dyDescent="0.25">
      <c r="A253" t="s">
        <v>999</v>
      </c>
      <c r="B253" t="s">
        <v>1000</v>
      </c>
      <c r="C253" s="1" t="s">
        <v>1001</v>
      </c>
      <c r="D253" s="1" t="s">
        <v>1647</v>
      </c>
      <c r="E253" s="1" t="s">
        <v>1002</v>
      </c>
      <c r="F253" s="1" t="s">
        <v>1696</v>
      </c>
      <c r="G253" s="1" t="s">
        <v>1585</v>
      </c>
      <c r="H253" s="1" t="s">
        <v>179</v>
      </c>
      <c r="I253" s="1" t="s">
        <v>22</v>
      </c>
      <c r="J253" s="1" t="s">
        <v>32</v>
      </c>
      <c r="K253" s="1" t="s">
        <v>33</v>
      </c>
      <c r="L253" s="1" t="s">
        <v>32</v>
      </c>
      <c r="M253" s="2">
        <v>45155</v>
      </c>
      <c r="N253" s="2" t="s">
        <v>25</v>
      </c>
      <c r="O253" s="2" t="s">
        <v>25</v>
      </c>
      <c r="P253" s="2" t="s">
        <v>25</v>
      </c>
      <c r="Q253" s="1" t="s">
        <v>26</v>
      </c>
      <c r="R253" s="7">
        <v>77417.759999999995</v>
      </c>
      <c r="S253" s="7">
        <v>5529.84</v>
      </c>
      <c r="T253" s="7">
        <v>3366.99</v>
      </c>
      <c r="U253" s="7">
        <v>2162.85</v>
      </c>
      <c r="V253" s="7">
        <v>0</v>
      </c>
      <c r="W253" s="10">
        <v>155.82089999999999</v>
      </c>
      <c r="X253" s="10">
        <v>153.16030000000001</v>
      </c>
    </row>
    <row r="254" spans="1:24" x14ac:dyDescent="0.25">
      <c r="A254" t="s">
        <v>840</v>
      </c>
      <c r="B254" t="s">
        <v>1003</v>
      </c>
      <c r="C254" s="1" t="s">
        <v>1004</v>
      </c>
      <c r="D254" s="1" t="s">
        <v>1647</v>
      </c>
      <c r="E254" s="1" t="s">
        <v>1005</v>
      </c>
      <c r="F254" s="1" t="s">
        <v>1696</v>
      </c>
      <c r="G254" s="1" t="s">
        <v>1585</v>
      </c>
      <c r="H254" s="1" t="s">
        <v>213</v>
      </c>
      <c r="I254" s="1" t="s">
        <v>22</v>
      </c>
      <c r="J254" s="1" t="s">
        <v>23</v>
      </c>
      <c r="K254" s="1" t="s">
        <v>24</v>
      </c>
      <c r="L254" s="1" t="s">
        <v>23</v>
      </c>
      <c r="M254" s="2">
        <v>45155</v>
      </c>
      <c r="N254" s="2" t="s">
        <v>25</v>
      </c>
      <c r="O254" s="2" t="s">
        <v>25</v>
      </c>
      <c r="P254" s="2" t="s">
        <v>25</v>
      </c>
      <c r="Q254" s="1" t="s">
        <v>26</v>
      </c>
      <c r="R254" s="7">
        <v>129905.02</v>
      </c>
      <c r="S254" s="7">
        <v>9278.93</v>
      </c>
      <c r="T254" s="7">
        <v>3366.99</v>
      </c>
      <c r="U254" s="7">
        <v>2162.85</v>
      </c>
      <c r="V254" s="7">
        <v>3749.09</v>
      </c>
      <c r="W254" s="10">
        <v>335.82089999999999</v>
      </c>
      <c r="X254" s="10">
        <v>238.24940000000001</v>
      </c>
    </row>
    <row r="255" spans="1:24" x14ac:dyDescent="0.25">
      <c r="A255" t="s">
        <v>1006</v>
      </c>
      <c r="B255" t="s">
        <v>1007</v>
      </c>
      <c r="C255" s="1" t="s">
        <v>1008</v>
      </c>
      <c r="D255" s="1" t="s">
        <v>1647</v>
      </c>
      <c r="E255" s="1" t="s">
        <v>1009</v>
      </c>
      <c r="F255" s="1" t="s">
        <v>1696</v>
      </c>
      <c r="G255" s="1" t="s">
        <v>1585</v>
      </c>
      <c r="H255" s="1" t="s">
        <v>585</v>
      </c>
      <c r="I255" s="1" t="s">
        <v>22</v>
      </c>
      <c r="J255" s="1" t="s">
        <v>23</v>
      </c>
      <c r="K255" s="1" t="s">
        <v>24</v>
      </c>
      <c r="L255" s="1" t="s">
        <v>23</v>
      </c>
      <c r="M255" s="2">
        <v>45155</v>
      </c>
      <c r="N255" s="2" t="s">
        <v>25</v>
      </c>
      <c r="O255" s="2" t="s">
        <v>25</v>
      </c>
      <c r="P255" s="2" t="s">
        <v>25</v>
      </c>
      <c r="Q255" s="1" t="s">
        <v>26</v>
      </c>
      <c r="R255" s="7">
        <v>94946.32</v>
      </c>
      <c r="S255" s="7">
        <v>6781.88</v>
      </c>
      <c r="T255" s="7">
        <v>3366.99</v>
      </c>
      <c r="U255" s="7">
        <v>2162.85</v>
      </c>
      <c r="V255" s="7">
        <v>1252.04</v>
      </c>
      <c r="W255" s="10">
        <v>435.22390000000001</v>
      </c>
      <c r="X255" s="10">
        <v>137.03819999999999</v>
      </c>
    </row>
    <row r="256" spans="1:24" x14ac:dyDescent="0.25">
      <c r="A256" t="s">
        <v>1010</v>
      </c>
      <c r="B256" t="s">
        <v>1011</v>
      </c>
      <c r="C256" s="1" t="s">
        <v>1012</v>
      </c>
      <c r="D256" s="1" t="s">
        <v>1646</v>
      </c>
      <c r="E256" s="1" t="s">
        <v>1013</v>
      </c>
      <c r="F256" s="1" t="s">
        <v>1696</v>
      </c>
      <c r="G256" s="1" t="s">
        <v>1585</v>
      </c>
      <c r="H256" s="1" t="s">
        <v>751</v>
      </c>
      <c r="I256" s="1" t="s">
        <v>22</v>
      </c>
      <c r="J256" s="1" t="s">
        <v>32</v>
      </c>
      <c r="K256" s="1" t="s">
        <v>33</v>
      </c>
      <c r="L256" s="1" t="s">
        <v>32</v>
      </c>
      <c r="M256" s="2">
        <v>45155</v>
      </c>
      <c r="N256" s="2" t="s">
        <v>25</v>
      </c>
      <c r="O256" s="2" t="s">
        <v>25</v>
      </c>
      <c r="P256" s="2" t="s">
        <v>25</v>
      </c>
      <c r="Q256" s="1" t="s">
        <v>26</v>
      </c>
      <c r="R256" s="7">
        <v>89103.7</v>
      </c>
      <c r="S256" s="7">
        <v>6364.55</v>
      </c>
      <c r="T256" s="7">
        <v>3366.99</v>
      </c>
      <c r="U256" s="7">
        <v>2162.85</v>
      </c>
      <c r="V256" s="7">
        <v>834.71</v>
      </c>
      <c r="W256" s="10">
        <v>8.0596999999999994</v>
      </c>
      <c r="X256" s="10">
        <v>174.65649999999999</v>
      </c>
    </row>
    <row r="257" spans="1:24" x14ac:dyDescent="0.25">
      <c r="A257" t="s">
        <v>1014</v>
      </c>
      <c r="B257" t="s">
        <v>1015</v>
      </c>
      <c r="C257" s="1" t="s">
        <v>1016</v>
      </c>
      <c r="D257" s="1" t="s">
        <v>1647</v>
      </c>
      <c r="E257" s="1" t="s">
        <v>1017</v>
      </c>
      <c r="F257" s="1" t="s">
        <v>1698</v>
      </c>
      <c r="G257" s="1" t="s">
        <v>1657</v>
      </c>
      <c r="H257" s="1" t="s">
        <v>31</v>
      </c>
      <c r="I257" s="1" t="s">
        <v>22</v>
      </c>
      <c r="J257" s="1" t="s">
        <v>32</v>
      </c>
      <c r="K257" s="1" t="s">
        <v>33</v>
      </c>
      <c r="L257" s="1" t="s">
        <v>1693</v>
      </c>
      <c r="M257" s="2">
        <v>45266</v>
      </c>
      <c r="N257" s="2" t="s">
        <v>25</v>
      </c>
      <c r="O257" s="2" t="s">
        <v>25</v>
      </c>
      <c r="P257" s="1" t="s">
        <v>310</v>
      </c>
      <c r="Q257" s="1" t="s">
        <v>26</v>
      </c>
      <c r="R257" s="7">
        <v>84650.52</v>
      </c>
      <c r="S257" s="7">
        <v>7054.21</v>
      </c>
      <c r="T257" s="7">
        <v>0</v>
      </c>
      <c r="U257" s="7">
        <v>0</v>
      </c>
      <c r="V257" s="7">
        <v>0</v>
      </c>
      <c r="W257" s="10">
        <v>309.85070000000002</v>
      </c>
      <c r="X257" s="10">
        <v>227.50129999999999</v>
      </c>
    </row>
    <row r="258" spans="1:24" x14ac:dyDescent="0.25">
      <c r="A258" t="s">
        <v>17</v>
      </c>
      <c r="B258" t="s">
        <v>1018</v>
      </c>
      <c r="C258" s="1" t="s">
        <v>1019</v>
      </c>
      <c r="D258" s="1" t="s">
        <v>1647</v>
      </c>
      <c r="E258" s="1" t="s">
        <v>1020</v>
      </c>
      <c r="F258" s="1" t="s">
        <v>1696</v>
      </c>
      <c r="G258" s="1" t="s">
        <v>1585</v>
      </c>
      <c r="H258" s="1" t="s">
        <v>31</v>
      </c>
      <c r="I258" s="1" t="s">
        <v>22</v>
      </c>
      <c r="J258" s="1" t="s">
        <v>23</v>
      </c>
      <c r="K258" s="1" t="s">
        <v>24</v>
      </c>
      <c r="L258" s="1" t="s">
        <v>23</v>
      </c>
      <c r="M258" s="2">
        <v>45474</v>
      </c>
      <c r="N258" s="2" t="s">
        <v>25</v>
      </c>
      <c r="O258" s="1" t="s">
        <v>665</v>
      </c>
      <c r="P258" s="2" t="s">
        <v>25</v>
      </c>
      <c r="Q258" s="1" t="s">
        <v>26</v>
      </c>
      <c r="R258" s="7">
        <v>89103.7</v>
      </c>
      <c r="S258" s="7">
        <v>6364.55</v>
      </c>
      <c r="T258" s="7">
        <v>3366.99</v>
      </c>
      <c r="U258" s="7">
        <v>2162.85</v>
      </c>
      <c r="V258" s="7">
        <v>834.71</v>
      </c>
      <c r="W258" s="10">
        <v>438.80599999999998</v>
      </c>
      <c r="X258" s="10">
        <v>99.419799999999995</v>
      </c>
    </row>
    <row r="259" spans="1:24" x14ac:dyDescent="0.25">
      <c r="A259" t="s">
        <v>1021</v>
      </c>
      <c r="B259" t="s">
        <v>1022</v>
      </c>
      <c r="C259" s="1" t="s">
        <v>1023</v>
      </c>
      <c r="D259" s="1" t="s">
        <v>1647</v>
      </c>
      <c r="E259" s="1" t="s">
        <v>1024</v>
      </c>
      <c r="F259" s="1" t="s">
        <v>1696</v>
      </c>
      <c r="G259" s="1" t="s">
        <v>1585</v>
      </c>
      <c r="H259" s="1" t="s">
        <v>189</v>
      </c>
      <c r="I259" s="1" t="s">
        <v>22</v>
      </c>
      <c r="J259" s="1" t="s">
        <v>32</v>
      </c>
      <c r="K259" s="1" t="s">
        <v>33</v>
      </c>
      <c r="L259" s="1" t="s">
        <v>32</v>
      </c>
      <c r="M259" s="2">
        <v>45155</v>
      </c>
      <c r="N259" s="2" t="s">
        <v>25</v>
      </c>
      <c r="O259" s="2" t="s">
        <v>25</v>
      </c>
      <c r="P259" s="2" t="s">
        <v>25</v>
      </c>
      <c r="Q259" s="1" t="s">
        <v>26</v>
      </c>
      <c r="R259" s="7">
        <v>94946.32</v>
      </c>
      <c r="S259" s="7">
        <v>6781.88</v>
      </c>
      <c r="T259" s="7">
        <v>3366.99</v>
      </c>
      <c r="U259" s="7">
        <v>2162.85</v>
      </c>
      <c r="V259" s="7">
        <v>1252.04</v>
      </c>
      <c r="W259" s="10">
        <v>49.253700000000002</v>
      </c>
      <c r="X259" s="10">
        <v>87.7761</v>
      </c>
    </row>
    <row r="260" spans="1:24" x14ac:dyDescent="0.25">
      <c r="A260" t="s">
        <v>999</v>
      </c>
      <c r="B260" t="s">
        <v>1025</v>
      </c>
      <c r="C260" s="1" t="s">
        <v>1026</v>
      </c>
      <c r="D260" s="1" t="s">
        <v>1647</v>
      </c>
      <c r="E260" s="1" t="s">
        <v>1027</v>
      </c>
      <c r="F260" s="1" t="s">
        <v>1696</v>
      </c>
      <c r="G260" s="1" t="s">
        <v>1585</v>
      </c>
      <c r="H260" s="1" t="s">
        <v>264</v>
      </c>
      <c r="I260" s="1" t="s">
        <v>22</v>
      </c>
      <c r="J260" s="1" t="s">
        <v>23</v>
      </c>
      <c r="K260" s="1" t="s">
        <v>24</v>
      </c>
      <c r="L260" s="1" t="s">
        <v>23</v>
      </c>
      <c r="M260" s="2">
        <v>45155</v>
      </c>
      <c r="N260" s="2" t="s">
        <v>25</v>
      </c>
      <c r="O260" s="2" t="s">
        <v>25</v>
      </c>
      <c r="P260" s="2" t="s">
        <v>25</v>
      </c>
      <c r="Q260" s="1" t="s">
        <v>26</v>
      </c>
      <c r="R260" s="7">
        <v>94946.32</v>
      </c>
      <c r="S260" s="7">
        <v>6781.88</v>
      </c>
      <c r="T260" s="7">
        <v>3366.99</v>
      </c>
      <c r="U260" s="7">
        <v>2162.85</v>
      </c>
      <c r="V260" s="7">
        <v>1252.04</v>
      </c>
      <c r="W260" s="10">
        <v>404.77609999999999</v>
      </c>
      <c r="X260" s="10">
        <v>206.9008</v>
      </c>
    </row>
    <row r="261" spans="1:24" x14ac:dyDescent="0.25">
      <c r="A261" t="s">
        <v>337</v>
      </c>
      <c r="B261" t="s">
        <v>1028</v>
      </c>
      <c r="C261" s="1" t="s">
        <v>1029</v>
      </c>
      <c r="D261" s="1" t="s">
        <v>1646</v>
      </c>
      <c r="E261" s="1" t="s">
        <v>1030</v>
      </c>
      <c r="F261" s="1" t="s">
        <v>1696</v>
      </c>
      <c r="G261" s="1" t="s">
        <v>1585</v>
      </c>
      <c r="H261" s="1" t="s">
        <v>40</v>
      </c>
      <c r="I261" s="1" t="s">
        <v>22</v>
      </c>
      <c r="J261" s="1" t="s">
        <v>23</v>
      </c>
      <c r="K261" s="1" t="s">
        <v>24</v>
      </c>
      <c r="L261" s="1" t="s">
        <v>23</v>
      </c>
      <c r="M261" s="2">
        <v>45155</v>
      </c>
      <c r="N261" s="2" t="s">
        <v>25</v>
      </c>
      <c r="O261" s="2" t="s">
        <v>25</v>
      </c>
      <c r="P261" s="2" t="s">
        <v>25</v>
      </c>
      <c r="Q261" s="1" t="s">
        <v>26</v>
      </c>
      <c r="R261" s="7">
        <v>79119.740000000005</v>
      </c>
      <c r="S261" s="7">
        <v>5651.41</v>
      </c>
      <c r="T261" s="7">
        <v>3366.99</v>
      </c>
      <c r="U261" s="7">
        <v>1032.3800000000001</v>
      </c>
      <c r="V261" s="7">
        <v>1252.04</v>
      </c>
      <c r="W261" s="10">
        <v>377.91039999999998</v>
      </c>
      <c r="X261" s="10">
        <v>195.25700000000001</v>
      </c>
    </row>
    <row r="262" spans="1:24" x14ac:dyDescent="0.25">
      <c r="A262" t="s">
        <v>1031</v>
      </c>
      <c r="B262" t="s">
        <v>1032</v>
      </c>
      <c r="C262" s="1" t="s">
        <v>1033</v>
      </c>
      <c r="D262" s="1" t="s">
        <v>1647</v>
      </c>
      <c r="E262" s="1" t="s">
        <v>1034</v>
      </c>
      <c r="F262" s="1" t="s">
        <v>1696</v>
      </c>
      <c r="G262" s="1" t="s">
        <v>1585</v>
      </c>
      <c r="H262" s="1" t="s">
        <v>100</v>
      </c>
      <c r="I262" s="1" t="s">
        <v>22</v>
      </c>
      <c r="J262" s="1" t="s">
        <v>23</v>
      </c>
      <c r="K262" s="1" t="s">
        <v>24</v>
      </c>
      <c r="L262" s="1" t="s">
        <v>23</v>
      </c>
      <c r="M262" s="2">
        <v>45155</v>
      </c>
      <c r="N262" s="2" t="s">
        <v>25</v>
      </c>
      <c r="O262" s="2" t="s">
        <v>25</v>
      </c>
      <c r="P262" s="2" t="s">
        <v>25</v>
      </c>
      <c r="Q262" s="1" t="s">
        <v>26</v>
      </c>
      <c r="R262" s="7">
        <v>122181.5</v>
      </c>
      <c r="S262" s="7">
        <v>8728.25</v>
      </c>
      <c r="T262" s="7">
        <v>3366.99</v>
      </c>
      <c r="U262" s="7">
        <v>2162.85</v>
      </c>
      <c r="V262" s="7">
        <v>3197.41</v>
      </c>
      <c r="W262" s="10">
        <v>334.92540000000002</v>
      </c>
      <c r="X262" s="10">
        <v>259.74549999999999</v>
      </c>
    </row>
    <row r="263" spans="1:24" x14ac:dyDescent="0.25">
      <c r="A263" t="s">
        <v>1035</v>
      </c>
      <c r="B263" t="s">
        <v>1036</v>
      </c>
      <c r="C263" s="1" t="s">
        <v>1037</v>
      </c>
      <c r="D263" s="1" t="s">
        <v>1647</v>
      </c>
      <c r="E263" s="1" t="s">
        <v>1038</v>
      </c>
      <c r="F263" s="1" t="s">
        <v>1696</v>
      </c>
      <c r="G263" s="1" t="s">
        <v>1585</v>
      </c>
      <c r="H263" s="1" t="s">
        <v>40</v>
      </c>
      <c r="I263" s="1" t="s">
        <v>22</v>
      </c>
      <c r="J263" s="1" t="s">
        <v>23</v>
      </c>
      <c r="K263" s="1" t="s">
        <v>24</v>
      </c>
      <c r="L263" s="1" t="s">
        <v>23</v>
      </c>
      <c r="M263" s="2">
        <v>45155</v>
      </c>
      <c r="N263" s="2" t="s">
        <v>25</v>
      </c>
      <c r="O263" s="2" t="s">
        <v>25</v>
      </c>
      <c r="P263" s="2" t="s">
        <v>25</v>
      </c>
      <c r="Q263" s="1" t="s">
        <v>26</v>
      </c>
      <c r="R263" s="7">
        <v>79119.740000000005</v>
      </c>
      <c r="S263" s="7">
        <v>5651.41</v>
      </c>
      <c r="T263" s="7">
        <v>3366.99</v>
      </c>
      <c r="U263" s="7">
        <v>1032.3800000000001</v>
      </c>
      <c r="V263" s="7">
        <v>1252.04</v>
      </c>
      <c r="W263" s="10">
        <v>291.94029999999998</v>
      </c>
      <c r="X263" s="10">
        <v>30.4529</v>
      </c>
    </row>
    <row r="264" spans="1:24" x14ac:dyDescent="0.25">
      <c r="A264" t="s">
        <v>17</v>
      </c>
      <c r="B264" t="s">
        <v>1039</v>
      </c>
      <c r="C264" s="1" t="s">
        <v>1040</v>
      </c>
      <c r="D264" s="1" t="s">
        <v>1647</v>
      </c>
      <c r="E264" s="1" t="s">
        <v>1041</v>
      </c>
      <c r="F264" s="1" t="s">
        <v>1696</v>
      </c>
      <c r="G264" s="1" t="s">
        <v>1585</v>
      </c>
      <c r="H264" s="1" t="s">
        <v>40</v>
      </c>
      <c r="I264" s="1" t="s">
        <v>22</v>
      </c>
      <c r="J264" s="1" t="s">
        <v>32</v>
      </c>
      <c r="K264" s="1" t="s">
        <v>33</v>
      </c>
      <c r="L264" s="1" t="s">
        <v>32</v>
      </c>
      <c r="M264" s="2">
        <v>45155</v>
      </c>
      <c r="N264" s="2" t="s">
        <v>25</v>
      </c>
      <c r="O264" s="2" t="s">
        <v>25</v>
      </c>
      <c r="P264" s="2" t="s">
        <v>25</v>
      </c>
      <c r="Q264" s="1" t="s">
        <v>26</v>
      </c>
      <c r="R264" s="7">
        <v>85566.18</v>
      </c>
      <c r="S264" s="7">
        <v>6111.87</v>
      </c>
      <c r="T264" s="7">
        <v>3366.99</v>
      </c>
      <c r="U264" s="7">
        <v>1032.3800000000001</v>
      </c>
      <c r="V264" s="7">
        <v>1712.5</v>
      </c>
      <c r="W264" s="10">
        <v>146.8657</v>
      </c>
      <c r="X264" s="10">
        <v>202.42240000000001</v>
      </c>
    </row>
    <row r="265" spans="1:24" x14ac:dyDescent="0.25">
      <c r="A265" t="s">
        <v>577</v>
      </c>
      <c r="B265" t="s">
        <v>1042</v>
      </c>
      <c r="C265" s="1" t="s">
        <v>1043</v>
      </c>
      <c r="D265" s="1" t="s">
        <v>1647</v>
      </c>
      <c r="E265" s="1" t="s">
        <v>1044</v>
      </c>
      <c r="F265" s="1" t="s">
        <v>1696</v>
      </c>
      <c r="G265" s="1" t="s">
        <v>1585</v>
      </c>
      <c r="H265" s="1" t="s">
        <v>130</v>
      </c>
      <c r="I265" s="1" t="s">
        <v>22</v>
      </c>
      <c r="J265" s="1" t="s">
        <v>32</v>
      </c>
      <c r="K265" s="1" t="s">
        <v>33</v>
      </c>
      <c r="L265" s="1" t="s">
        <v>32</v>
      </c>
      <c r="M265" s="2">
        <v>45155</v>
      </c>
      <c r="N265" s="2" t="s">
        <v>25</v>
      </c>
      <c r="O265" s="2" t="s">
        <v>25</v>
      </c>
      <c r="P265" s="2" t="s">
        <v>25</v>
      </c>
      <c r="Q265" s="1" t="s">
        <v>26</v>
      </c>
      <c r="R265" s="7">
        <v>129905.02</v>
      </c>
      <c r="S265" s="7">
        <v>9278.93</v>
      </c>
      <c r="T265" s="7">
        <v>3366.99</v>
      </c>
      <c r="U265" s="7">
        <v>2162.85</v>
      </c>
      <c r="V265" s="7">
        <v>3749.09</v>
      </c>
      <c r="W265" s="10">
        <v>145.0746</v>
      </c>
      <c r="X265" s="10">
        <v>248.9975</v>
      </c>
    </row>
    <row r="266" spans="1:24" x14ac:dyDescent="0.25">
      <c r="A266" t="s">
        <v>154</v>
      </c>
      <c r="B266" t="s">
        <v>1045</v>
      </c>
      <c r="C266" s="1" t="s">
        <v>1046</v>
      </c>
      <c r="D266" s="1" t="s">
        <v>1647</v>
      </c>
      <c r="E266" s="1" t="s">
        <v>1047</v>
      </c>
      <c r="F266" s="1" t="s">
        <v>1697</v>
      </c>
      <c r="G266" s="1" t="s">
        <v>1676</v>
      </c>
      <c r="H266" s="1" t="s">
        <v>763</v>
      </c>
      <c r="I266" s="1" t="s">
        <v>22</v>
      </c>
      <c r="J266" s="1" t="s">
        <v>23</v>
      </c>
      <c r="K266" s="1" t="s">
        <v>24</v>
      </c>
      <c r="L266" s="1" t="s">
        <v>23</v>
      </c>
      <c r="M266" s="2">
        <v>45155</v>
      </c>
      <c r="N266" s="2" t="s">
        <v>25</v>
      </c>
      <c r="O266" s="2" t="s">
        <v>25</v>
      </c>
      <c r="P266" s="2" t="s">
        <v>25</v>
      </c>
      <c r="Q266" s="1" t="s">
        <v>26</v>
      </c>
      <c r="R266" s="7">
        <v>118368.18</v>
      </c>
      <c r="S266" s="7">
        <v>8454.8700000000008</v>
      </c>
      <c r="T266" s="7">
        <v>3366.99</v>
      </c>
      <c r="U266" s="7">
        <v>2162.85</v>
      </c>
      <c r="V266" s="7">
        <v>2925.03</v>
      </c>
      <c r="W266" s="10">
        <v>176.4179</v>
      </c>
      <c r="X266" s="10">
        <v>322.4427</v>
      </c>
    </row>
    <row r="267" spans="1:24" x14ac:dyDescent="0.25">
      <c r="A267" t="s">
        <v>337</v>
      </c>
      <c r="B267" t="s">
        <v>1048</v>
      </c>
      <c r="C267" s="1" t="s">
        <v>1049</v>
      </c>
      <c r="D267" s="1" t="s">
        <v>1646</v>
      </c>
      <c r="E267" s="1" t="s">
        <v>1050</v>
      </c>
      <c r="F267" s="1" t="s">
        <v>1696</v>
      </c>
      <c r="G267" s="1" t="s">
        <v>1585</v>
      </c>
      <c r="H267" s="1" t="s">
        <v>95</v>
      </c>
      <c r="I267" s="1" t="s">
        <v>22</v>
      </c>
      <c r="J267" s="1" t="s">
        <v>23</v>
      </c>
      <c r="K267" s="1" t="s">
        <v>24</v>
      </c>
      <c r="L267" s="1" t="s">
        <v>23</v>
      </c>
      <c r="M267" s="2">
        <v>45155</v>
      </c>
      <c r="N267" s="2" t="s">
        <v>25</v>
      </c>
      <c r="O267" s="2" t="s">
        <v>25</v>
      </c>
      <c r="P267" s="2" t="s">
        <v>25</v>
      </c>
      <c r="Q267" s="1" t="s">
        <v>26</v>
      </c>
      <c r="R267" s="7">
        <v>94946.32</v>
      </c>
      <c r="S267" s="7">
        <v>6781.88</v>
      </c>
      <c r="T267" s="7">
        <v>3366.99</v>
      </c>
      <c r="U267" s="7">
        <v>2162.85</v>
      </c>
      <c r="V267" s="7">
        <v>1252.04</v>
      </c>
      <c r="W267" s="10">
        <v>402.08960000000002</v>
      </c>
      <c r="X267" s="10">
        <v>87.7761</v>
      </c>
    </row>
    <row r="268" spans="1:24" x14ac:dyDescent="0.25">
      <c r="A268" t="s">
        <v>1051</v>
      </c>
      <c r="B268" t="s">
        <v>1052</v>
      </c>
      <c r="C268" s="1" t="s">
        <v>1053</v>
      </c>
      <c r="D268" s="1" t="s">
        <v>1647</v>
      </c>
      <c r="E268" s="1" t="s">
        <v>1054</v>
      </c>
      <c r="F268" s="1" t="s">
        <v>1696</v>
      </c>
      <c r="G268" s="1" t="s">
        <v>1585</v>
      </c>
      <c r="H268" s="1" t="s">
        <v>67</v>
      </c>
      <c r="I268" s="1" t="s">
        <v>22</v>
      </c>
      <c r="J268" s="1" t="s">
        <v>303</v>
      </c>
      <c r="K268" s="1" t="s">
        <v>304</v>
      </c>
      <c r="L268" s="1" t="s">
        <v>303</v>
      </c>
      <c r="M268" s="2">
        <v>45155</v>
      </c>
      <c r="N268" s="2" t="s">
        <v>25</v>
      </c>
      <c r="O268" s="2" t="s">
        <v>25</v>
      </c>
      <c r="P268" s="2" t="s">
        <v>25</v>
      </c>
      <c r="Q268" s="1" t="s">
        <v>26</v>
      </c>
      <c r="R268" s="7">
        <v>139710.06</v>
      </c>
      <c r="S268" s="7">
        <v>9979.2900000000009</v>
      </c>
      <c r="T268" s="7">
        <v>3366.99</v>
      </c>
      <c r="U268" s="7">
        <v>2162.85</v>
      </c>
      <c r="V268" s="7">
        <v>4449.45</v>
      </c>
      <c r="W268" s="10">
        <v>128.95519999999999</v>
      </c>
      <c r="X268" s="10">
        <v>110.1679</v>
      </c>
    </row>
    <row r="269" spans="1:24" x14ac:dyDescent="0.25">
      <c r="A269" t="s">
        <v>96</v>
      </c>
      <c r="B269" t="s">
        <v>1055</v>
      </c>
      <c r="C269" s="1" t="s">
        <v>1056</v>
      </c>
      <c r="D269" s="1" t="s">
        <v>1646</v>
      </c>
      <c r="E269" s="1" t="s">
        <v>1057</v>
      </c>
      <c r="F269" s="1" t="s">
        <v>1696</v>
      </c>
      <c r="G269" s="1" t="s">
        <v>1585</v>
      </c>
      <c r="H269" s="1" t="s">
        <v>166</v>
      </c>
      <c r="I269" s="1" t="s">
        <v>22</v>
      </c>
      <c r="J269" s="1" t="s">
        <v>23</v>
      </c>
      <c r="K269" s="1" t="s">
        <v>24</v>
      </c>
      <c r="L269" s="1" t="s">
        <v>23</v>
      </c>
      <c r="M269" s="2">
        <v>45155</v>
      </c>
      <c r="N269" s="2" t="s">
        <v>25</v>
      </c>
      <c r="O269" s="2" t="s">
        <v>25</v>
      </c>
      <c r="P269" s="2" t="s">
        <v>25</v>
      </c>
      <c r="Q269" s="1" t="s">
        <v>26</v>
      </c>
      <c r="R269" s="7">
        <v>89103.7</v>
      </c>
      <c r="S269" s="7">
        <v>6364.55</v>
      </c>
      <c r="T269" s="7">
        <v>3366.99</v>
      </c>
      <c r="U269" s="7">
        <v>2162.85</v>
      </c>
      <c r="V269" s="7">
        <v>834.71</v>
      </c>
      <c r="W269" s="10">
        <v>341.19400000000002</v>
      </c>
      <c r="X269" s="10">
        <v>23.287500000000001</v>
      </c>
    </row>
    <row r="270" spans="1:24" x14ac:dyDescent="0.25">
      <c r="A270" t="s">
        <v>200</v>
      </c>
      <c r="B270" t="s">
        <v>1058</v>
      </c>
      <c r="C270" s="1" t="s">
        <v>1059</v>
      </c>
      <c r="D270" s="1" t="s">
        <v>1646</v>
      </c>
      <c r="E270" s="1" t="s">
        <v>1060</v>
      </c>
      <c r="F270" s="1" t="s">
        <v>1696</v>
      </c>
      <c r="G270" s="1" t="s">
        <v>1585</v>
      </c>
      <c r="H270" s="1" t="s">
        <v>40</v>
      </c>
      <c r="I270" s="1" t="s">
        <v>22</v>
      </c>
      <c r="J270" s="1" t="s">
        <v>23</v>
      </c>
      <c r="K270" s="1" t="s">
        <v>24</v>
      </c>
      <c r="L270" s="1" t="s">
        <v>23</v>
      </c>
      <c r="M270" s="2">
        <v>45155</v>
      </c>
      <c r="N270" s="2" t="s">
        <v>25</v>
      </c>
      <c r="O270" s="2" t="s">
        <v>25</v>
      </c>
      <c r="P270" s="2" t="s">
        <v>25</v>
      </c>
      <c r="Q270" s="1" t="s">
        <v>26</v>
      </c>
      <c r="R270" s="7">
        <v>61591.18</v>
      </c>
      <c r="S270" s="7">
        <v>4399.37</v>
      </c>
      <c r="T270" s="7">
        <v>3366.99</v>
      </c>
      <c r="U270" s="7">
        <v>1032.3800000000001</v>
      </c>
      <c r="V270" s="7">
        <v>0</v>
      </c>
      <c r="W270" s="10">
        <v>334.92540000000002</v>
      </c>
      <c r="X270" s="10">
        <v>270.49360000000001</v>
      </c>
    </row>
    <row r="271" spans="1:24" x14ac:dyDescent="0.25">
      <c r="A271" t="s">
        <v>386</v>
      </c>
      <c r="B271" t="s">
        <v>1061</v>
      </c>
      <c r="C271" s="1" t="s">
        <v>1062</v>
      </c>
      <c r="D271" s="1" t="s">
        <v>1647</v>
      </c>
      <c r="E271" s="1" t="s">
        <v>1063</v>
      </c>
      <c r="F271" s="1" t="s">
        <v>1696</v>
      </c>
      <c r="G271" s="1" t="s">
        <v>1585</v>
      </c>
      <c r="H271" s="1" t="s">
        <v>40</v>
      </c>
      <c r="I271" s="1" t="s">
        <v>22</v>
      </c>
      <c r="J271" s="1" t="s">
        <v>23</v>
      </c>
      <c r="K271" s="1" t="s">
        <v>24</v>
      </c>
      <c r="L271" s="1" t="s">
        <v>23</v>
      </c>
      <c r="M271" s="2">
        <v>45155</v>
      </c>
      <c r="N271" s="2">
        <v>45862</v>
      </c>
      <c r="O271" s="2" t="s">
        <v>25</v>
      </c>
      <c r="P271" s="1" t="s">
        <v>1298</v>
      </c>
      <c r="Q271" s="1" t="s">
        <v>35</v>
      </c>
      <c r="R271" s="7">
        <v>84799.12</v>
      </c>
      <c r="S271" s="7">
        <v>6057.08</v>
      </c>
      <c r="T271" s="7">
        <v>3236.32</v>
      </c>
      <c r="U271" s="7">
        <v>2820.76</v>
      </c>
      <c r="V271" s="7">
        <v>0</v>
      </c>
      <c r="W271" s="10">
        <v>413.73129999999998</v>
      </c>
      <c r="X271" s="10">
        <v>147.78630000000001</v>
      </c>
    </row>
    <row r="272" spans="1:24" x14ac:dyDescent="0.25">
      <c r="A272" t="s">
        <v>1064</v>
      </c>
      <c r="B272" t="s">
        <v>1065</v>
      </c>
      <c r="C272" s="1" t="s">
        <v>1066</v>
      </c>
      <c r="D272" s="1" t="s">
        <v>1646</v>
      </c>
      <c r="E272" s="1" t="s">
        <v>1067</v>
      </c>
      <c r="F272" s="1" t="s">
        <v>1696</v>
      </c>
      <c r="G272" s="1" t="s">
        <v>1585</v>
      </c>
      <c r="H272" s="1" t="s">
        <v>40</v>
      </c>
      <c r="I272" s="1" t="s">
        <v>22</v>
      </c>
      <c r="J272" s="1" t="s">
        <v>23</v>
      </c>
      <c r="K272" s="1" t="s">
        <v>24</v>
      </c>
      <c r="L272" s="1" t="s">
        <v>23</v>
      </c>
      <c r="M272" s="2">
        <v>45310</v>
      </c>
      <c r="N272" s="2" t="s">
        <v>25</v>
      </c>
      <c r="O272" s="1" t="s">
        <v>1266</v>
      </c>
      <c r="P272" s="2" t="s">
        <v>25</v>
      </c>
      <c r="Q272" s="1" t="s">
        <v>26</v>
      </c>
      <c r="R272" s="7">
        <v>79119.740000000005</v>
      </c>
      <c r="S272" s="7">
        <v>5651.41</v>
      </c>
      <c r="T272" s="7">
        <v>3366.99</v>
      </c>
      <c r="U272" s="7">
        <v>1032.3800000000001</v>
      </c>
      <c r="V272" s="7">
        <v>1252.04</v>
      </c>
      <c r="W272" s="10">
        <v>406.56720000000001</v>
      </c>
      <c r="X272" s="10">
        <v>217.6489</v>
      </c>
    </row>
    <row r="273" spans="1:24" x14ac:dyDescent="0.25">
      <c r="A273" t="s">
        <v>1068</v>
      </c>
      <c r="B273" t="s">
        <v>1069</v>
      </c>
      <c r="C273" s="1" t="s">
        <v>1070</v>
      </c>
      <c r="D273" s="1" t="s">
        <v>1647</v>
      </c>
      <c r="E273" s="1" t="s">
        <v>1071</v>
      </c>
      <c r="F273" s="1" t="s">
        <v>1696</v>
      </c>
      <c r="G273" s="1" t="s">
        <v>1585</v>
      </c>
      <c r="H273" s="1" t="s">
        <v>67</v>
      </c>
      <c r="I273" s="1" t="s">
        <v>22</v>
      </c>
      <c r="J273" s="1" t="s">
        <v>125</v>
      </c>
      <c r="K273" s="1" t="s">
        <v>124</v>
      </c>
      <c r="L273" s="1" t="s">
        <v>125</v>
      </c>
      <c r="M273" s="2">
        <v>45698</v>
      </c>
      <c r="N273" s="2" t="s">
        <v>25</v>
      </c>
      <c r="O273" s="1" t="s">
        <v>1147</v>
      </c>
      <c r="P273" s="2" t="s">
        <v>25</v>
      </c>
      <c r="Q273" s="1" t="s">
        <v>26</v>
      </c>
      <c r="R273" s="7">
        <v>94946.32</v>
      </c>
      <c r="S273" s="7">
        <v>6781.88</v>
      </c>
      <c r="T273" s="7">
        <v>3366.99</v>
      </c>
      <c r="U273" s="7">
        <v>2162.85</v>
      </c>
      <c r="V273" s="7">
        <v>1252.04</v>
      </c>
      <c r="W273" s="10">
        <v>226.56720000000001</v>
      </c>
      <c r="X273" s="10">
        <v>74.340999999999994</v>
      </c>
    </row>
    <row r="274" spans="1:24" x14ac:dyDescent="0.25">
      <c r="A274" t="s">
        <v>1072</v>
      </c>
      <c r="B274" t="s">
        <v>1073</v>
      </c>
      <c r="C274" s="1" t="s">
        <v>1074</v>
      </c>
      <c r="D274" s="1" t="s">
        <v>1646</v>
      </c>
      <c r="E274" s="1" t="s">
        <v>1075</v>
      </c>
      <c r="F274" s="1" t="s">
        <v>1696</v>
      </c>
      <c r="G274" s="1" t="s">
        <v>1585</v>
      </c>
      <c r="H274" s="1" t="s">
        <v>21</v>
      </c>
      <c r="I274" s="1" t="s">
        <v>22</v>
      </c>
      <c r="J274" s="1" t="s">
        <v>23</v>
      </c>
      <c r="K274" s="1" t="s">
        <v>24</v>
      </c>
      <c r="L274" s="1" t="s">
        <v>23</v>
      </c>
      <c r="M274" s="2">
        <v>45155</v>
      </c>
      <c r="N274" s="2" t="s">
        <v>25</v>
      </c>
      <c r="O274" s="2" t="s">
        <v>25</v>
      </c>
      <c r="P274" s="2" t="s">
        <v>25</v>
      </c>
      <c r="Q274" s="1" t="s">
        <v>26</v>
      </c>
      <c r="R274" s="7">
        <v>129905.02</v>
      </c>
      <c r="S274" s="7">
        <v>9278.93</v>
      </c>
      <c r="T274" s="7">
        <v>3366.99</v>
      </c>
      <c r="U274" s="7">
        <v>2162.85</v>
      </c>
      <c r="V274" s="7">
        <v>3749.09</v>
      </c>
      <c r="W274" s="10">
        <v>333.1343</v>
      </c>
      <c r="X274" s="10">
        <v>202.42240000000001</v>
      </c>
    </row>
    <row r="275" spans="1:24" x14ac:dyDescent="0.25">
      <c r="A275" t="s">
        <v>1076</v>
      </c>
      <c r="B275" t="s">
        <v>1077</v>
      </c>
      <c r="C275" s="1" t="s">
        <v>1078</v>
      </c>
      <c r="D275" s="1" t="s">
        <v>1646</v>
      </c>
      <c r="E275" s="1" t="s">
        <v>1079</v>
      </c>
      <c r="F275" s="1" t="s">
        <v>1696</v>
      </c>
      <c r="G275" s="1" t="s">
        <v>1585</v>
      </c>
      <c r="H275" s="1" t="s">
        <v>40</v>
      </c>
      <c r="I275" s="1" t="s">
        <v>22</v>
      </c>
      <c r="J275" s="1" t="s">
        <v>41</v>
      </c>
      <c r="K275" s="1" t="s">
        <v>42</v>
      </c>
      <c r="L275" s="1" t="s">
        <v>41</v>
      </c>
      <c r="M275" s="2">
        <v>45155</v>
      </c>
      <c r="N275" s="2" t="s">
        <v>25</v>
      </c>
      <c r="O275" s="2" t="s">
        <v>25</v>
      </c>
      <c r="P275" s="2" t="s">
        <v>25</v>
      </c>
      <c r="Q275" s="1" t="s">
        <v>26</v>
      </c>
      <c r="R275" s="7">
        <v>61591.18</v>
      </c>
      <c r="S275" s="7">
        <v>4399.37</v>
      </c>
      <c r="T275" s="7">
        <v>3366.99</v>
      </c>
      <c r="U275" s="7">
        <v>1032.3800000000001</v>
      </c>
      <c r="V275" s="7">
        <v>0</v>
      </c>
      <c r="W275" s="10">
        <v>158.50749999999999</v>
      </c>
      <c r="X275" s="10">
        <v>17.913499999999999</v>
      </c>
    </row>
    <row r="276" spans="1:24" x14ac:dyDescent="0.25">
      <c r="A276" t="s">
        <v>802</v>
      </c>
      <c r="B276" t="s">
        <v>1080</v>
      </c>
      <c r="C276" s="1" t="s">
        <v>1081</v>
      </c>
      <c r="D276" s="1" t="s">
        <v>1646</v>
      </c>
      <c r="E276" s="1" t="s">
        <v>1082</v>
      </c>
      <c r="F276" s="1" t="s">
        <v>1696</v>
      </c>
      <c r="G276" s="1" t="s">
        <v>1585</v>
      </c>
      <c r="H276" s="1" t="s">
        <v>222</v>
      </c>
      <c r="I276" s="1" t="s">
        <v>22</v>
      </c>
      <c r="J276" s="1" t="s">
        <v>62</v>
      </c>
      <c r="K276" s="1" t="s">
        <v>81</v>
      </c>
      <c r="L276" s="1" t="s">
        <v>80</v>
      </c>
      <c r="M276" s="2">
        <v>45702</v>
      </c>
      <c r="N276" s="2" t="s">
        <v>25</v>
      </c>
      <c r="O276" s="2" t="s">
        <v>25</v>
      </c>
      <c r="P276" s="1" t="s">
        <v>1355</v>
      </c>
      <c r="Q276" s="1" t="s">
        <v>26</v>
      </c>
      <c r="R276" s="7">
        <v>94946.32</v>
      </c>
      <c r="S276" s="7">
        <v>6781.88</v>
      </c>
      <c r="T276" s="7">
        <v>3366.99</v>
      </c>
      <c r="U276" s="7">
        <v>2162.85</v>
      </c>
      <c r="V276" s="7">
        <v>1252.04</v>
      </c>
      <c r="W276" s="10">
        <v>147.7612</v>
      </c>
      <c r="X276" s="10">
        <v>72.549599999999998</v>
      </c>
    </row>
    <row r="277" spans="1:24" x14ac:dyDescent="0.25">
      <c r="A277" t="s">
        <v>648</v>
      </c>
      <c r="B277" t="s">
        <v>1083</v>
      </c>
      <c r="C277" s="1" t="s">
        <v>1084</v>
      </c>
      <c r="D277" s="1" t="s">
        <v>1647</v>
      </c>
      <c r="E277" s="1" t="s">
        <v>1085</v>
      </c>
      <c r="F277" s="1" t="s">
        <v>1696</v>
      </c>
      <c r="G277" s="1" t="s">
        <v>1585</v>
      </c>
      <c r="H277" s="1" t="s">
        <v>184</v>
      </c>
      <c r="I277" s="1" t="s">
        <v>22</v>
      </c>
      <c r="J277" s="1" t="s">
        <v>32</v>
      </c>
      <c r="K277" s="1" t="s">
        <v>33</v>
      </c>
      <c r="L277" s="1" t="s">
        <v>32</v>
      </c>
      <c r="M277" s="2">
        <v>45489</v>
      </c>
      <c r="N277" s="2" t="s">
        <v>25</v>
      </c>
      <c r="O277" s="1" t="s">
        <v>796</v>
      </c>
      <c r="P277" s="2" t="s">
        <v>25</v>
      </c>
      <c r="Q277" s="1" t="s">
        <v>26</v>
      </c>
      <c r="R277" s="7">
        <v>89103.7</v>
      </c>
      <c r="S277" s="7">
        <v>6364.55</v>
      </c>
      <c r="T277" s="7">
        <v>3366.99</v>
      </c>
      <c r="U277" s="7">
        <v>2162.85</v>
      </c>
      <c r="V277" s="7">
        <v>834.71</v>
      </c>
      <c r="W277" s="10">
        <v>19.701499999999999</v>
      </c>
      <c r="X277" s="10">
        <v>137.03819999999999</v>
      </c>
    </row>
    <row r="278" spans="1:24" x14ac:dyDescent="0.25">
      <c r="A278" t="s">
        <v>269</v>
      </c>
      <c r="B278" t="s">
        <v>1086</v>
      </c>
      <c r="C278" s="1" t="s">
        <v>1087</v>
      </c>
      <c r="D278" s="1" t="s">
        <v>1647</v>
      </c>
      <c r="E278" s="1" t="s">
        <v>1088</v>
      </c>
      <c r="F278" s="1" t="s">
        <v>1696</v>
      </c>
      <c r="G278" s="1" t="s">
        <v>1585</v>
      </c>
      <c r="H278" s="1" t="s">
        <v>21</v>
      </c>
      <c r="I278" s="1" t="s">
        <v>22</v>
      </c>
      <c r="J278" s="1" t="s">
        <v>32</v>
      </c>
      <c r="K278" s="1" t="s">
        <v>33</v>
      </c>
      <c r="L278" s="1" t="s">
        <v>32</v>
      </c>
      <c r="M278" s="2">
        <v>45352</v>
      </c>
      <c r="N278" s="2" t="s">
        <v>25</v>
      </c>
      <c r="O278" s="1" t="s">
        <v>634</v>
      </c>
      <c r="P278" s="2" t="s">
        <v>25</v>
      </c>
      <c r="Q278" s="1" t="s">
        <v>26</v>
      </c>
      <c r="R278" s="7">
        <v>94946.32</v>
      </c>
      <c r="S278" s="7">
        <v>6781.88</v>
      </c>
      <c r="T278" s="7">
        <v>3366.99</v>
      </c>
      <c r="U278" s="7">
        <v>2162.85</v>
      </c>
      <c r="V278" s="7">
        <v>1252.04</v>
      </c>
      <c r="W278" s="10">
        <v>50.149299999999997</v>
      </c>
      <c r="X278" s="10">
        <v>226.60560000000001</v>
      </c>
    </row>
    <row r="279" spans="1:24" x14ac:dyDescent="0.25">
      <c r="A279" t="s">
        <v>1089</v>
      </c>
      <c r="B279" t="s">
        <v>1090</v>
      </c>
      <c r="C279" s="1" t="s">
        <v>1091</v>
      </c>
      <c r="D279" s="1" t="s">
        <v>1646</v>
      </c>
      <c r="E279" s="1" t="s">
        <v>1092</v>
      </c>
      <c r="F279" s="1" t="s">
        <v>1696</v>
      </c>
      <c r="G279" s="1" t="s">
        <v>1585</v>
      </c>
      <c r="H279" s="1" t="s">
        <v>67</v>
      </c>
      <c r="I279" s="1" t="s">
        <v>22</v>
      </c>
      <c r="J279" s="1" t="s">
        <v>303</v>
      </c>
      <c r="K279" s="1" t="s">
        <v>304</v>
      </c>
      <c r="L279" s="1" t="s">
        <v>303</v>
      </c>
      <c r="M279" s="2">
        <v>45155</v>
      </c>
      <c r="N279" s="2" t="s">
        <v>25</v>
      </c>
      <c r="O279" s="1" t="s">
        <v>1183</v>
      </c>
      <c r="P279" s="2" t="s">
        <v>25</v>
      </c>
      <c r="Q279" s="1" t="s">
        <v>26</v>
      </c>
      <c r="R279" s="7">
        <v>94946.32</v>
      </c>
      <c r="S279" s="7">
        <v>6781.88</v>
      </c>
      <c r="T279" s="7">
        <v>3366.99</v>
      </c>
      <c r="U279" s="7">
        <v>2162.85</v>
      </c>
      <c r="V279" s="7">
        <v>1252.04</v>
      </c>
      <c r="W279" s="10">
        <v>94.925399999999996</v>
      </c>
      <c r="X279" s="10">
        <v>106.5852</v>
      </c>
    </row>
    <row r="280" spans="1:24" x14ac:dyDescent="0.25">
      <c r="A280" t="s">
        <v>636</v>
      </c>
      <c r="B280" t="s">
        <v>1093</v>
      </c>
      <c r="C280" s="1" t="s">
        <v>1094</v>
      </c>
      <c r="D280" s="1" t="s">
        <v>1646</v>
      </c>
      <c r="E280" s="1" t="s">
        <v>1095</v>
      </c>
      <c r="F280" s="1" t="s">
        <v>1696</v>
      </c>
      <c r="G280" s="1" t="s">
        <v>1585</v>
      </c>
      <c r="H280" s="1" t="s">
        <v>199</v>
      </c>
      <c r="I280" s="1" t="s">
        <v>22</v>
      </c>
      <c r="J280" s="1" t="s">
        <v>23</v>
      </c>
      <c r="K280" s="1" t="s">
        <v>24</v>
      </c>
      <c r="L280" s="1" t="s">
        <v>23</v>
      </c>
      <c r="M280" s="2">
        <v>45155</v>
      </c>
      <c r="N280" s="2" t="s">
        <v>25</v>
      </c>
      <c r="O280" s="2" t="s">
        <v>25</v>
      </c>
      <c r="P280" s="2" t="s">
        <v>25</v>
      </c>
      <c r="Q280" s="1" t="s">
        <v>26</v>
      </c>
      <c r="R280" s="7">
        <v>94946.32</v>
      </c>
      <c r="S280" s="7">
        <v>6781.88</v>
      </c>
      <c r="T280" s="7">
        <v>3366.99</v>
      </c>
      <c r="U280" s="7">
        <v>2162.85</v>
      </c>
      <c r="V280" s="7">
        <v>1252.04</v>
      </c>
      <c r="W280" s="10">
        <v>385.07459999999998</v>
      </c>
      <c r="X280" s="10">
        <v>106.5852</v>
      </c>
    </row>
    <row r="281" spans="1:24" x14ac:dyDescent="0.25">
      <c r="A281" t="s">
        <v>1096</v>
      </c>
      <c r="B281" t="s">
        <v>1097</v>
      </c>
      <c r="C281" s="1" t="s">
        <v>1098</v>
      </c>
      <c r="D281" s="1" t="s">
        <v>1646</v>
      </c>
      <c r="E281" s="1" t="s">
        <v>1099</v>
      </c>
      <c r="F281" s="1" t="s">
        <v>1696</v>
      </c>
      <c r="G281" s="1" t="s">
        <v>1585</v>
      </c>
      <c r="H281" s="1" t="s">
        <v>872</v>
      </c>
      <c r="I281" s="1" t="s">
        <v>22</v>
      </c>
      <c r="J281" s="1" t="s">
        <v>23</v>
      </c>
      <c r="K281" s="1" t="s">
        <v>24</v>
      </c>
      <c r="L281" s="1" t="s">
        <v>23</v>
      </c>
      <c r="M281" s="2">
        <v>45155</v>
      </c>
      <c r="N281" s="2" t="s">
        <v>25</v>
      </c>
      <c r="O281" s="2" t="s">
        <v>25</v>
      </c>
      <c r="P281" s="2" t="s">
        <v>25</v>
      </c>
      <c r="Q281" s="1" t="s">
        <v>26</v>
      </c>
      <c r="R281" s="7">
        <v>94946.32</v>
      </c>
      <c r="S281" s="7">
        <v>6781.88</v>
      </c>
      <c r="T281" s="7">
        <v>3366.99</v>
      </c>
      <c r="U281" s="7">
        <v>2162.85</v>
      </c>
      <c r="V281" s="7">
        <v>1252.04</v>
      </c>
      <c r="W281" s="10">
        <v>316.11939999999998</v>
      </c>
      <c r="X281" s="10">
        <v>36.7226</v>
      </c>
    </row>
    <row r="282" spans="1:24" x14ac:dyDescent="0.25">
      <c r="A282" t="s">
        <v>1089</v>
      </c>
      <c r="B282" t="s">
        <v>1100</v>
      </c>
      <c r="C282" s="1" t="s">
        <v>1101</v>
      </c>
      <c r="D282" s="1" t="s">
        <v>1646</v>
      </c>
      <c r="E282" s="1" t="s">
        <v>1102</v>
      </c>
      <c r="F282" s="1" t="s">
        <v>1696</v>
      </c>
      <c r="G282" s="1" t="s">
        <v>1585</v>
      </c>
      <c r="H282" s="1" t="s">
        <v>67</v>
      </c>
      <c r="I282" s="1" t="s">
        <v>22</v>
      </c>
      <c r="J282" s="1" t="s">
        <v>32</v>
      </c>
      <c r="K282" s="1" t="s">
        <v>33</v>
      </c>
      <c r="L282" s="1" t="s">
        <v>32</v>
      </c>
      <c r="M282" s="2">
        <v>45288</v>
      </c>
      <c r="N282" s="2" t="s">
        <v>25</v>
      </c>
      <c r="O282" s="1" t="s">
        <v>1393</v>
      </c>
      <c r="P282" s="2" t="s">
        <v>25</v>
      </c>
      <c r="Q282" s="1" t="s">
        <v>26</v>
      </c>
      <c r="R282" s="7">
        <v>94946.32</v>
      </c>
      <c r="S282" s="7">
        <v>6781.88</v>
      </c>
      <c r="T282" s="7">
        <v>3366.99</v>
      </c>
      <c r="U282" s="7">
        <v>2162.85</v>
      </c>
      <c r="V282" s="7">
        <v>1252.04</v>
      </c>
      <c r="W282" s="10">
        <v>29.552199999999999</v>
      </c>
      <c r="X282" s="10">
        <v>323.33839999999998</v>
      </c>
    </row>
    <row r="283" spans="1:24" x14ac:dyDescent="0.25">
      <c r="A283" t="s">
        <v>1103</v>
      </c>
      <c r="B283" t="s">
        <v>1104</v>
      </c>
      <c r="C283" s="1" t="s">
        <v>1105</v>
      </c>
      <c r="D283" s="1" t="s">
        <v>1647</v>
      </c>
      <c r="E283" s="1" t="s">
        <v>1106</v>
      </c>
      <c r="F283" s="1" t="s">
        <v>1696</v>
      </c>
      <c r="G283" s="1" t="s">
        <v>1585</v>
      </c>
      <c r="H283" s="1" t="s">
        <v>213</v>
      </c>
      <c r="I283" s="1" t="s">
        <v>22</v>
      </c>
      <c r="J283" s="1" t="s">
        <v>23</v>
      </c>
      <c r="K283" s="1" t="s">
        <v>24</v>
      </c>
      <c r="L283" s="1" t="s">
        <v>23</v>
      </c>
      <c r="M283" s="2">
        <v>45155</v>
      </c>
      <c r="N283" s="2" t="s">
        <v>25</v>
      </c>
      <c r="O283" s="2" t="s">
        <v>25</v>
      </c>
      <c r="P283" s="2" t="s">
        <v>25</v>
      </c>
      <c r="Q283" s="1" t="s">
        <v>26</v>
      </c>
      <c r="R283" s="7">
        <v>89103.7</v>
      </c>
      <c r="S283" s="7">
        <v>6364.55</v>
      </c>
      <c r="T283" s="7">
        <v>3366.99</v>
      </c>
      <c r="U283" s="7">
        <v>2162.85</v>
      </c>
      <c r="V283" s="7">
        <v>834.71</v>
      </c>
      <c r="W283" s="10">
        <v>232.83580000000001</v>
      </c>
      <c r="X283" s="10">
        <v>5.3739999999999997</v>
      </c>
    </row>
    <row r="284" spans="1:24" x14ac:dyDescent="0.25">
      <c r="A284" t="s">
        <v>397</v>
      </c>
      <c r="B284" t="s">
        <v>1107</v>
      </c>
      <c r="C284" s="1" t="s">
        <v>1108</v>
      </c>
      <c r="D284" s="1" t="s">
        <v>1646</v>
      </c>
      <c r="E284" s="1" t="s">
        <v>1109</v>
      </c>
      <c r="F284" s="1" t="s">
        <v>1696</v>
      </c>
      <c r="G284" s="1" t="s">
        <v>1585</v>
      </c>
      <c r="H284" s="1" t="s">
        <v>67</v>
      </c>
      <c r="I284" s="1" t="s">
        <v>22</v>
      </c>
      <c r="J284" s="1" t="s">
        <v>23</v>
      </c>
      <c r="K284" s="1" t="s">
        <v>24</v>
      </c>
      <c r="L284" s="1" t="s">
        <v>23</v>
      </c>
      <c r="M284" s="2">
        <v>45155</v>
      </c>
      <c r="N284" s="2" t="s">
        <v>25</v>
      </c>
      <c r="O284" s="2" t="s">
        <v>25</v>
      </c>
      <c r="P284" s="2" t="s">
        <v>25</v>
      </c>
      <c r="Q284" s="1" t="s">
        <v>26</v>
      </c>
      <c r="R284" s="7">
        <v>94946.32</v>
      </c>
      <c r="S284" s="7">
        <v>6781.88</v>
      </c>
      <c r="T284" s="7">
        <v>3366.99</v>
      </c>
      <c r="U284" s="7">
        <v>2162.85</v>
      </c>
      <c r="V284" s="7">
        <v>1252.04</v>
      </c>
      <c r="W284" s="10">
        <v>206.8657</v>
      </c>
      <c r="X284" s="10">
        <v>7.1654</v>
      </c>
    </row>
    <row r="285" spans="1:24" x14ac:dyDescent="0.25">
      <c r="A285" t="s">
        <v>529</v>
      </c>
      <c r="B285" t="s">
        <v>1110</v>
      </c>
      <c r="C285" s="1" t="s">
        <v>1111</v>
      </c>
      <c r="D285" s="1" t="s">
        <v>1647</v>
      </c>
      <c r="E285" s="1" t="s">
        <v>1112</v>
      </c>
      <c r="F285" s="1" t="s">
        <v>1696</v>
      </c>
      <c r="G285" s="1" t="s">
        <v>1585</v>
      </c>
      <c r="H285" s="1" t="s">
        <v>213</v>
      </c>
      <c r="I285" s="1" t="s">
        <v>22</v>
      </c>
      <c r="J285" s="1" t="s">
        <v>23</v>
      </c>
      <c r="K285" s="1" t="s">
        <v>24</v>
      </c>
      <c r="L285" s="1" t="s">
        <v>23</v>
      </c>
      <c r="M285" s="2">
        <v>45155</v>
      </c>
      <c r="N285" s="2" t="s">
        <v>25</v>
      </c>
      <c r="O285" s="2" t="s">
        <v>25</v>
      </c>
      <c r="P285" s="2" t="s">
        <v>25</v>
      </c>
      <c r="Q285" s="1" t="s">
        <v>26</v>
      </c>
      <c r="R285" s="7">
        <v>89103.7</v>
      </c>
      <c r="S285" s="7">
        <v>6364.55</v>
      </c>
      <c r="T285" s="7">
        <v>3366.99</v>
      </c>
      <c r="U285" s="7">
        <v>2162.85</v>
      </c>
      <c r="V285" s="7">
        <v>834.71</v>
      </c>
      <c r="W285" s="10">
        <v>363.58210000000003</v>
      </c>
      <c r="X285" s="10">
        <v>34.035600000000002</v>
      </c>
    </row>
    <row r="286" spans="1:24" x14ac:dyDescent="0.25">
      <c r="A286" t="s">
        <v>1113</v>
      </c>
      <c r="B286" t="s">
        <v>1114</v>
      </c>
      <c r="C286" s="1" t="s">
        <v>1115</v>
      </c>
      <c r="D286" s="1" t="s">
        <v>1647</v>
      </c>
      <c r="E286" s="1" t="s">
        <v>1116</v>
      </c>
      <c r="F286" s="1" t="s">
        <v>1696</v>
      </c>
      <c r="G286" s="1" t="s">
        <v>1585</v>
      </c>
      <c r="H286" s="1" t="s">
        <v>40</v>
      </c>
      <c r="I286" s="1" t="s">
        <v>22</v>
      </c>
      <c r="J286" s="1" t="s">
        <v>23</v>
      </c>
      <c r="K286" s="1" t="s">
        <v>24</v>
      </c>
      <c r="L286" s="1" t="s">
        <v>23</v>
      </c>
      <c r="M286" s="2">
        <v>45155</v>
      </c>
      <c r="N286" s="2">
        <v>45443</v>
      </c>
      <c r="O286" s="2" t="s">
        <v>25</v>
      </c>
      <c r="P286" s="1" t="s">
        <v>234</v>
      </c>
      <c r="Q286" s="1" t="s">
        <v>35</v>
      </c>
      <c r="R286" s="7">
        <v>71897</v>
      </c>
      <c r="S286" s="7">
        <v>5135.5</v>
      </c>
      <c r="T286" s="7">
        <v>3142.14</v>
      </c>
      <c r="U286" s="7">
        <v>2018.41</v>
      </c>
      <c r="V286" s="7">
        <v>0</v>
      </c>
      <c r="W286" s="10">
        <v>328.6567</v>
      </c>
      <c r="X286" s="10">
        <v>19.704799999999999</v>
      </c>
    </row>
    <row r="287" spans="1:24" x14ac:dyDescent="0.25">
      <c r="A287" t="s">
        <v>1117</v>
      </c>
      <c r="B287" t="s">
        <v>1118</v>
      </c>
      <c r="C287" s="1" t="s">
        <v>1119</v>
      </c>
      <c r="D287" s="1" t="s">
        <v>1646</v>
      </c>
      <c r="E287" s="1" t="s">
        <v>1120</v>
      </c>
      <c r="F287" s="1" t="s">
        <v>1696</v>
      </c>
      <c r="G287" s="1" t="s">
        <v>1585</v>
      </c>
      <c r="H287" s="1" t="s">
        <v>285</v>
      </c>
      <c r="I287" s="1" t="s">
        <v>22</v>
      </c>
      <c r="J287" s="1" t="s">
        <v>23</v>
      </c>
      <c r="K287" s="1" t="s">
        <v>24</v>
      </c>
      <c r="L287" s="1" t="s">
        <v>23</v>
      </c>
      <c r="M287" s="2">
        <v>45155</v>
      </c>
      <c r="N287" s="2" t="s">
        <v>25</v>
      </c>
      <c r="O287" s="2" t="s">
        <v>25</v>
      </c>
      <c r="P287" s="2" t="s">
        <v>25</v>
      </c>
      <c r="Q287" s="1" t="s">
        <v>26</v>
      </c>
      <c r="R287" s="7">
        <v>94946.32</v>
      </c>
      <c r="S287" s="7">
        <v>6781.88</v>
      </c>
      <c r="T287" s="7">
        <v>3366.99</v>
      </c>
      <c r="U287" s="7">
        <v>2162.85</v>
      </c>
      <c r="V287" s="7">
        <v>1252.04</v>
      </c>
      <c r="W287" s="10">
        <v>430.74630000000002</v>
      </c>
      <c r="X287" s="10">
        <v>127.1858</v>
      </c>
    </row>
    <row r="288" spans="1:24" x14ac:dyDescent="0.25">
      <c r="A288" t="s">
        <v>621</v>
      </c>
      <c r="B288" t="s">
        <v>1121</v>
      </c>
      <c r="C288" s="1" t="s">
        <v>1122</v>
      </c>
      <c r="D288" s="1" t="s">
        <v>1647</v>
      </c>
      <c r="E288" s="1" t="s">
        <v>1123</v>
      </c>
      <c r="F288" s="1" t="s">
        <v>1696</v>
      </c>
      <c r="G288" s="1" t="s">
        <v>1585</v>
      </c>
      <c r="H288" s="1" t="s">
        <v>751</v>
      </c>
      <c r="I288" s="1" t="s">
        <v>22</v>
      </c>
      <c r="J288" s="1" t="s">
        <v>32</v>
      </c>
      <c r="K288" s="1" t="s">
        <v>33</v>
      </c>
      <c r="L288" s="1" t="s">
        <v>32</v>
      </c>
      <c r="M288" s="2">
        <v>45155</v>
      </c>
      <c r="N288" s="2" t="s">
        <v>25</v>
      </c>
      <c r="O288" s="2" t="s">
        <v>25</v>
      </c>
      <c r="P288" s="2" t="s">
        <v>25</v>
      </c>
      <c r="Q288" s="1" t="s">
        <v>26</v>
      </c>
      <c r="R288" s="7">
        <v>101392.76</v>
      </c>
      <c r="S288" s="7">
        <v>7242.34</v>
      </c>
      <c r="T288" s="7">
        <v>3366.99</v>
      </c>
      <c r="U288" s="7">
        <v>2162.85</v>
      </c>
      <c r="V288" s="7">
        <v>1712.5</v>
      </c>
      <c r="W288" s="10">
        <v>121.791</v>
      </c>
      <c r="X288" s="10">
        <v>248.9975</v>
      </c>
    </row>
    <row r="289" spans="1:24" x14ac:dyDescent="0.25">
      <c r="A289" t="s">
        <v>1124</v>
      </c>
      <c r="B289" t="s">
        <v>1125</v>
      </c>
      <c r="C289" s="1" t="s">
        <v>1126</v>
      </c>
      <c r="D289" s="1" t="s">
        <v>1647</v>
      </c>
      <c r="E289" s="1" t="s">
        <v>1127</v>
      </c>
      <c r="F289" s="1" t="s">
        <v>1696</v>
      </c>
      <c r="G289" s="1" t="s">
        <v>1585</v>
      </c>
      <c r="H289" s="1" t="s">
        <v>67</v>
      </c>
      <c r="I289" s="1" t="s">
        <v>22</v>
      </c>
      <c r="J289" s="1" t="s">
        <v>32</v>
      </c>
      <c r="K289" s="1" t="s">
        <v>33</v>
      </c>
      <c r="L289" s="1" t="s">
        <v>32</v>
      </c>
      <c r="M289" s="2">
        <v>45155</v>
      </c>
      <c r="N289" s="2" t="s">
        <v>25</v>
      </c>
      <c r="O289" s="2" t="s">
        <v>25</v>
      </c>
      <c r="P289" s="2" t="s">
        <v>25</v>
      </c>
      <c r="Q289" s="1" t="s">
        <v>26</v>
      </c>
      <c r="R289" s="7">
        <v>101392.76</v>
      </c>
      <c r="S289" s="7">
        <v>7242.34</v>
      </c>
      <c r="T289" s="7">
        <v>3366.99</v>
      </c>
      <c r="U289" s="7">
        <v>2162.85</v>
      </c>
      <c r="V289" s="7">
        <v>1712.5</v>
      </c>
      <c r="W289" s="10">
        <v>131.64179999999999</v>
      </c>
      <c r="X289" s="10">
        <v>179.13489999999999</v>
      </c>
    </row>
    <row r="290" spans="1:24" x14ac:dyDescent="0.25">
      <c r="A290" t="s">
        <v>162</v>
      </c>
      <c r="B290" t="s">
        <v>1128</v>
      </c>
      <c r="C290" s="1" t="s">
        <v>1129</v>
      </c>
      <c r="D290" s="1" t="s">
        <v>1646</v>
      </c>
      <c r="E290" s="1" t="s">
        <v>1130</v>
      </c>
      <c r="F290" s="1" t="s">
        <v>1696</v>
      </c>
      <c r="G290" s="1" t="s">
        <v>1585</v>
      </c>
      <c r="H290" s="1" t="s">
        <v>51</v>
      </c>
      <c r="I290" s="1" t="s">
        <v>22</v>
      </c>
      <c r="J290" s="1" t="s">
        <v>23</v>
      </c>
      <c r="K290" s="1" t="s">
        <v>24</v>
      </c>
      <c r="L290" s="1" t="s">
        <v>23</v>
      </c>
      <c r="M290" s="2">
        <v>45155</v>
      </c>
      <c r="N290" s="2" t="s">
        <v>25</v>
      </c>
      <c r="O290" s="2" t="s">
        <v>25</v>
      </c>
      <c r="P290" s="2" t="s">
        <v>25</v>
      </c>
      <c r="Q290" s="1" t="s">
        <v>26</v>
      </c>
      <c r="R290" s="7">
        <v>94946.32</v>
      </c>
      <c r="S290" s="7">
        <v>6781.88</v>
      </c>
      <c r="T290" s="7">
        <v>3366.99</v>
      </c>
      <c r="U290" s="7">
        <v>2162.85</v>
      </c>
      <c r="V290" s="7">
        <v>1252.04</v>
      </c>
      <c r="W290" s="10">
        <v>429.85070000000002</v>
      </c>
      <c r="X290" s="10">
        <v>227.50129999999999</v>
      </c>
    </row>
    <row r="291" spans="1:24" x14ac:dyDescent="0.25">
      <c r="A291" t="s">
        <v>1010</v>
      </c>
      <c r="B291" t="s">
        <v>1131</v>
      </c>
      <c r="C291" s="1" t="s">
        <v>1132</v>
      </c>
      <c r="D291" s="1" t="s">
        <v>1646</v>
      </c>
      <c r="E291" s="1" t="s">
        <v>1133</v>
      </c>
      <c r="F291" s="1" t="s">
        <v>1696</v>
      </c>
      <c r="G291" s="1" t="s">
        <v>1585</v>
      </c>
      <c r="H291" s="1" t="s">
        <v>585</v>
      </c>
      <c r="I291" s="1" t="s">
        <v>22</v>
      </c>
      <c r="J291" s="1" t="s">
        <v>23</v>
      </c>
      <c r="K291" s="1" t="s">
        <v>24</v>
      </c>
      <c r="L291" s="1" t="s">
        <v>23</v>
      </c>
      <c r="M291" s="2">
        <v>45155</v>
      </c>
      <c r="N291" s="2" t="s">
        <v>25</v>
      </c>
      <c r="O291" s="2" t="s">
        <v>25</v>
      </c>
      <c r="P291" s="2" t="s">
        <v>25</v>
      </c>
      <c r="Q291" s="1" t="s">
        <v>26</v>
      </c>
      <c r="R291" s="7">
        <v>129905.02</v>
      </c>
      <c r="S291" s="7">
        <v>9278.93</v>
      </c>
      <c r="T291" s="7">
        <v>3366.99</v>
      </c>
      <c r="U291" s="7">
        <v>2162.85</v>
      </c>
      <c r="V291" s="7">
        <v>3749.09</v>
      </c>
      <c r="W291" s="10">
        <v>334.92540000000002</v>
      </c>
      <c r="X291" s="10">
        <v>214.96180000000001</v>
      </c>
    </row>
    <row r="292" spans="1:24" x14ac:dyDescent="0.25">
      <c r="A292" t="s">
        <v>281</v>
      </c>
      <c r="B292" t="s">
        <v>1134</v>
      </c>
      <c r="C292" s="1" t="s">
        <v>1135</v>
      </c>
      <c r="D292" s="1" t="s">
        <v>1647</v>
      </c>
      <c r="E292" s="1" t="s">
        <v>1136</v>
      </c>
      <c r="F292" s="1" t="s">
        <v>1696</v>
      </c>
      <c r="G292" s="1" t="s">
        <v>1585</v>
      </c>
      <c r="H292" s="1" t="s">
        <v>259</v>
      </c>
      <c r="I292" s="1" t="s">
        <v>22</v>
      </c>
      <c r="J292" s="1" t="s">
        <v>32</v>
      </c>
      <c r="K292" s="1" t="s">
        <v>33</v>
      </c>
      <c r="L292" s="1" t="s">
        <v>32</v>
      </c>
      <c r="M292" s="2">
        <v>45155</v>
      </c>
      <c r="N292" s="2" t="s">
        <v>25</v>
      </c>
      <c r="O292" s="2" t="s">
        <v>25</v>
      </c>
      <c r="P292" s="2" t="s">
        <v>25</v>
      </c>
      <c r="Q292" s="1" t="s">
        <v>26</v>
      </c>
      <c r="R292" s="7">
        <v>94946.32</v>
      </c>
      <c r="S292" s="7">
        <v>6781.88</v>
      </c>
      <c r="T292" s="7">
        <v>3366.99</v>
      </c>
      <c r="U292" s="7">
        <v>2162.85</v>
      </c>
      <c r="V292" s="7">
        <v>1252.04</v>
      </c>
      <c r="W292" s="10">
        <v>58.209000000000003</v>
      </c>
      <c r="X292" s="10">
        <v>77.923699999999997</v>
      </c>
    </row>
    <row r="293" spans="1:24" x14ac:dyDescent="0.25">
      <c r="A293" t="s">
        <v>1137</v>
      </c>
      <c r="B293" t="s">
        <v>1138</v>
      </c>
      <c r="C293" s="1" t="s">
        <v>1139</v>
      </c>
      <c r="D293" s="1" t="s">
        <v>1646</v>
      </c>
      <c r="E293" s="1" t="s">
        <v>1140</v>
      </c>
      <c r="F293" s="1" t="s">
        <v>1696</v>
      </c>
      <c r="G293" s="1" t="s">
        <v>1585</v>
      </c>
      <c r="H293" s="1" t="s">
        <v>779</v>
      </c>
      <c r="I293" s="1" t="s">
        <v>22</v>
      </c>
      <c r="J293" s="1" t="s">
        <v>23</v>
      </c>
      <c r="K293" s="1" t="s">
        <v>24</v>
      </c>
      <c r="L293" s="1" t="s">
        <v>23</v>
      </c>
      <c r="M293" s="2">
        <v>45155</v>
      </c>
      <c r="N293" s="2" t="s">
        <v>25</v>
      </c>
      <c r="O293" s="2" t="s">
        <v>25</v>
      </c>
      <c r="P293" s="2" t="s">
        <v>25</v>
      </c>
      <c r="Q293" s="1" t="s">
        <v>26</v>
      </c>
      <c r="R293" s="7">
        <v>89103.7</v>
      </c>
      <c r="S293" s="7">
        <v>6364.55</v>
      </c>
      <c r="T293" s="7">
        <v>3366.99</v>
      </c>
      <c r="U293" s="7">
        <v>2162.85</v>
      </c>
      <c r="V293" s="7">
        <v>834.71</v>
      </c>
      <c r="W293" s="10">
        <v>305.37310000000002</v>
      </c>
      <c r="X293" s="10">
        <v>12.539400000000001</v>
      </c>
    </row>
    <row r="294" spans="1:24" x14ac:dyDescent="0.25">
      <c r="A294" t="s">
        <v>1141</v>
      </c>
      <c r="B294" t="s">
        <v>1142</v>
      </c>
      <c r="C294" s="1" t="s">
        <v>1143</v>
      </c>
      <c r="D294" s="1" t="s">
        <v>1647</v>
      </c>
      <c r="E294" s="1" t="s">
        <v>1144</v>
      </c>
      <c r="F294" s="1" t="s">
        <v>1696</v>
      </c>
      <c r="G294" s="1" t="s">
        <v>1585</v>
      </c>
      <c r="H294" s="1" t="s">
        <v>259</v>
      </c>
      <c r="I294" s="1" t="s">
        <v>22</v>
      </c>
      <c r="J294" s="1" t="s">
        <v>23</v>
      </c>
      <c r="K294" s="1" t="s">
        <v>24</v>
      </c>
      <c r="L294" s="1" t="s">
        <v>23</v>
      </c>
      <c r="M294" s="2">
        <v>45155</v>
      </c>
      <c r="N294" s="2" t="s">
        <v>25</v>
      </c>
      <c r="O294" s="2" t="s">
        <v>25</v>
      </c>
      <c r="P294" s="2" t="s">
        <v>25</v>
      </c>
      <c r="Q294" s="1" t="s">
        <v>26</v>
      </c>
      <c r="R294" s="7">
        <v>89103.7</v>
      </c>
      <c r="S294" s="7">
        <v>6364.55</v>
      </c>
      <c r="T294" s="7">
        <v>3366.99</v>
      </c>
      <c r="U294" s="7">
        <v>2162.85</v>
      </c>
      <c r="V294" s="7">
        <v>834.71</v>
      </c>
      <c r="W294" s="10">
        <v>447.76119999999997</v>
      </c>
      <c r="X294" s="10">
        <v>111.06359999999999</v>
      </c>
    </row>
    <row r="295" spans="1:24" x14ac:dyDescent="0.25">
      <c r="A295" t="s">
        <v>1145</v>
      </c>
      <c r="B295" t="s">
        <v>1146</v>
      </c>
      <c r="C295" s="1" t="s">
        <v>1147</v>
      </c>
      <c r="D295" s="1" t="s">
        <v>1647</v>
      </c>
      <c r="E295" s="1" t="s">
        <v>1148</v>
      </c>
      <c r="F295" s="1" t="s">
        <v>1696</v>
      </c>
      <c r="G295" s="1" t="s">
        <v>1585</v>
      </c>
      <c r="H295" s="1" t="s">
        <v>67</v>
      </c>
      <c r="I295" s="1" t="s">
        <v>22</v>
      </c>
      <c r="J295" s="1" t="s">
        <v>125</v>
      </c>
      <c r="K295" s="1" t="s">
        <v>124</v>
      </c>
      <c r="L295" s="1" t="s">
        <v>125</v>
      </c>
      <c r="M295" s="2">
        <v>45155</v>
      </c>
      <c r="N295" s="2">
        <v>45698</v>
      </c>
      <c r="O295" s="2" t="s">
        <v>25</v>
      </c>
      <c r="P295" s="1" t="s">
        <v>1070</v>
      </c>
      <c r="Q295" s="1" t="s">
        <v>35</v>
      </c>
      <c r="R295" s="7">
        <v>91261.66</v>
      </c>
      <c r="S295" s="7">
        <v>6518.69</v>
      </c>
      <c r="T295" s="7">
        <v>3236.32</v>
      </c>
      <c r="U295" s="7">
        <v>2078.92</v>
      </c>
      <c r="V295" s="7">
        <v>1203.45</v>
      </c>
      <c r="W295" s="10">
        <v>226.56720000000001</v>
      </c>
      <c r="X295" s="10">
        <v>74.340999999999994</v>
      </c>
    </row>
    <row r="296" spans="1:24" x14ac:dyDescent="0.25">
      <c r="A296" t="s">
        <v>1149</v>
      </c>
      <c r="B296" t="s">
        <v>1150</v>
      </c>
      <c r="C296" s="1" t="s">
        <v>1151</v>
      </c>
      <c r="D296" s="1" t="s">
        <v>1646</v>
      </c>
      <c r="E296" s="1" t="s">
        <v>1152</v>
      </c>
      <c r="F296" s="1" t="s">
        <v>1697</v>
      </c>
      <c r="G296" s="1" t="s">
        <v>1673</v>
      </c>
      <c r="H296" s="1" t="s">
        <v>67</v>
      </c>
      <c r="I296" s="1" t="s">
        <v>22</v>
      </c>
      <c r="J296" s="1" t="s">
        <v>125</v>
      </c>
      <c r="K296" s="1" t="s">
        <v>124</v>
      </c>
      <c r="L296" s="1" t="s">
        <v>125</v>
      </c>
      <c r="M296" s="2">
        <v>45155</v>
      </c>
      <c r="N296" s="2" t="s">
        <v>25</v>
      </c>
      <c r="O296" s="2" t="s">
        <v>25</v>
      </c>
      <c r="P296" s="2" t="s">
        <v>25</v>
      </c>
      <c r="Q296" s="1" t="s">
        <v>26</v>
      </c>
      <c r="R296" s="7">
        <v>142343.18</v>
      </c>
      <c r="S296" s="7">
        <v>10167.370000000001</v>
      </c>
      <c r="T296" s="7">
        <v>3366.99</v>
      </c>
      <c r="U296" s="7">
        <v>2162.85</v>
      </c>
      <c r="V296" s="7">
        <v>4637.53</v>
      </c>
      <c r="W296" s="10">
        <v>289.25369999999998</v>
      </c>
      <c r="X296" s="10">
        <v>322.4427</v>
      </c>
    </row>
    <row r="297" spans="1:24" x14ac:dyDescent="0.25">
      <c r="A297" t="s">
        <v>1153</v>
      </c>
      <c r="B297" t="s">
        <v>1154</v>
      </c>
      <c r="C297" s="1" t="s">
        <v>1155</v>
      </c>
      <c r="D297" s="1" t="s">
        <v>1646</v>
      </c>
      <c r="E297" s="1" t="s">
        <v>1156</v>
      </c>
      <c r="F297" s="1" t="s">
        <v>1698</v>
      </c>
      <c r="G297" s="1" t="s">
        <v>1644</v>
      </c>
      <c r="H297" s="1" t="s">
        <v>421</v>
      </c>
      <c r="I297" s="1" t="s">
        <v>22</v>
      </c>
      <c r="J297" s="1" t="s">
        <v>32</v>
      </c>
      <c r="K297" s="1" t="s">
        <v>33</v>
      </c>
      <c r="L297" s="1" t="s">
        <v>1693</v>
      </c>
      <c r="M297" s="2">
        <v>45155</v>
      </c>
      <c r="N297" s="2" t="s">
        <v>25</v>
      </c>
      <c r="O297" s="2" t="s">
        <v>25</v>
      </c>
      <c r="P297" s="1" t="s">
        <v>944</v>
      </c>
      <c r="Q297" s="1" t="s">
        <v>26</v>
      </c>
      <c r="R297" s="7">
        <v>84650.52</v>
      </c>
      <c r="S297" s="7">
        <v>7054.21</v>
      </c>
      <c r="T297" s="7">
        <v>3366.99</v>
      </c>
      <c r="U297" s="7">
        <v>0</v>
      </c>
      <c r="V297" s="7">
        <v>0</v>
      </c>
      <c r="W297" s="10">
        <v>257.01490000000001</v>
      </c>
      <c r="X297" s="10">
        <v>172.86510000000001</v>
      </c>
    </row>
    <row r="298" spans="1:24" x14ac:dyDescent="0.25">
      <c r="A298" t="s">
        <v>681</v>
      </c>
      <c r="B298" t="s">
        <v>1157</v>
      </c>
      <c r="C298" s="1" t="s">
        <v>1158</v>
      </c>
      <c r="D298" s="1" t="s">
        <v>1647</v>
      </c>
      <c r="E298" s="1" t="s">
        <v>1159</v>
      </c>
      <c r="F298" s="1" t="s">
        <v>1696</v>
      </c>
      <c r="G298" s="1" t="s">
        <v>1585</v>
      </c>
      <c r="H298" s="1" t="s">
        <v>462</v>
      </c>
      <c r="I298" s="1" t="s">
        <v>22</v>
      </c>
      <c r="J298" s="1" t="s">
        <v>32</v>
      </c>
      <c r="K298" s="1" t="s">
        <v>33</v>
      </c>
      <c r="L298" s="1" t="s">
        <v>32</v>
      </c>
      <c r="M298" s="2">
        <v>45155</v>
      </c>
      <c r="N298" s="2" t="s">
        <v>25</v>
      </c>
      <c r="O298" s="2" t="s">
        <v>25</v>
      </c>
      <c r="P298" s="2" t="s">
        <v>25</v>
      </c>
      <c r="Q298" s="1" t="s">
        <v>26</v>
      </c>
      <c r="R298" s="7">
        <v>94946.32</v>
      </c>
      <c r="S298" s="7">
        <v>6781.88</v>
      </c>
      <c r="T298" s="7">
        <v>3366.99</v>
      </c>
      <c r="U298" s="7">
        <v>2162.85</v>
      </c>
      <c r="V298" s="7">
        <v>1252.04</v>
      </c>
      <c r="W298" s="10">
        <v>26.8657</v>
      </c>
      <c r="X298" s="10">
        <v>203.31809999999999</v>
      </c>
    </row>
    <row r="299" spans="1:24" x14ac:dyDescent="0.25">
      <c r="A299" t="s">
        <v>1160</v>
      </c>
      <c r="B299" t="s">
        <v>1161</v>
      </c>
      <c r="C299" s="1" t="s">
        <v>1162</v>
      </c>
      <c r="D299" s="1" t="s">
        <v>1647</v>
      </c>
      <c r="E299" s="1" t="s">
        <v>1163</v>
      </c>
      <c r="F299" s="1" t="s">
        <v>1696</v>
      </c>
      <c r="G299" s="1" t="s">
        <v>1585</v>
      </c>
      <c r="H299" s="1" t="s">
        <v>213</v>
      </c>
      <c r="I299" s="1" t="s">
        <v>22</v>
      </c>
      <c r="J299" s="1" t="s">
        <v>32</v>
      </c>
      <c r="K299" s="1" t="s">
        <v>33</v>
      </c>
      <c r="L299" s="1" t="s">
        <v>32</v>
      </c>
      <c r="M299" s="2">
        <v>45155</v>
      </c>
      <c r="N299" s="2" t="s">
        <v>25</v>
      </c>
      <c r="O299" s="2" t="s">
        <v>25</v>
      </c>
      <c r="P299" s="2" t="s">
        <v>25</v>
      </c>
      <c r="Q299" s="1" t="s">
        <v>26</v>
      </c>
      <c r="R299" s="7">
        <v>94946.32</v>
      </c>
      <c r="S299" s="7">
        <v>6781.88</v>
      </c>
      <c r="T299" s="7">
        <v>3366.99</v>
      </c>
      <c r="U299" s="7">
        <v>2162.85</v>
      </c>
      <c r="V299" s="7">
        <v>1252.04</v>
      </c>
      <c r="W299" s="10">
        <v>25.0746</v>
      </c>
      <c r="X299" s="10">
        <v>123.6031</v>
      </c>
    </row>
    <row r="300" spans="1:24" x14ac:dyDescent="0.25">
      <c r="A300" t="s">
        <v>1164</v>
      </c>
      <c r="B300" t="s">
        <v>1165</v>
      </c>
      <c r="C300" s="1" t="s">
        <v>1166</v>
      </c>
      <c r="D300" s="1" t="s">
        <v>1646</v>
      </c>
      <c r="E300" s="1" t="s">
        <v>1167</v>
      </c>
      <c r="F300" s="1" t="s">
        <v>1696</v>
      </c>
      <c r="G300" s="1" t="s">
        <v>1585</v>
      </c>
      <c r="H300" s="1" t="s">
        <v>56</v>
      </c>
      <c r="I300" s="1" t="s">
        <v>22</v>
      </c>
      <c r="J300" s="1" t="s">
        <v>32</v>
      </c>
      <c r="K300" s="1" t="s">
        <v>33</v>
      </c>
      <c r="L300" s="1" t="s">
        <v>32</v>
      </c>
      <c r="M300" s="2">
        <v>45155</v>
      </c>
      <c r="N300" s="2" t="s">
        <v>25</v>
      </c>
      <c r="O300" s="2" t="s">
        <v>25</v>
      </c>
      <c r="P300" s="2" t="s">
        <v>25</v>
      </c>
      <c r="Q300" s="1" t="s">
        <v>26</v>
      </c>
      <c r="R300" s="7">
        <v>94946.32</v>
      </c>
      <c r="S300" s="7">
        <v>6781.88</v>
      </c>
      <c r="T300" s="7">
        <v>3366.99</v>
      </c>
      <c r="U300" s="7">
        <v>2162.85</v>
      </c>
      <c r="V300" s="7">
        <v>1252.04</v>
      </c>
      <c r="W300" s="10">
        <v>6.2686999999999999</v>
      </c>
      <c r="X300" s="10">
        <v>270.49360000000001</v>
      </c>
    </row>
    <row r="301" spans="1:24" x14ac:dyDescent="0.25">
      <c r="A301" t="s">
        <v>759</v>
      </c>
      <c r="B301" t="s">
        <v>1168</v>
      </c>
      <c r="C301" s="1" t="s">
        <v>1169</v>
      </c>
      <c r="D301" s="1" t="s">
        <v>1647</v>
      </c>
      <c r="E301" s="1" t="s">
        <v>1170</v>
      </c>
      <c r="F301" s="1" t="s">
        <v>1696</v>
      </c>
      <c r="G301" s="1" t="s">
        <v>1585</v>
      </c>
      <c r="H301" s="1" t="s">
        <v>244</v>
      </c>
      <c r="I301" s="1" t="s">
        <v>22</v>
      </c>
      <c r="J301" s="1" t="s">
        <v>80</v>
      </c>
      <c r="K301" s="1" t="s">
        <v>81</v>
      </c>
      <c r="L301" s="1" t="s">
        <v>80</v>
      </c>
      <c r="M301" s="2">
        <v>45155</v>
      </c>
      <c r="N301" s="2" t="s">
        <v>25</v>
      </c>
      <c r="O301" s="2" t="s">
        <v>25</v>
      </c>
      <c r="P301" s="2" t="s">
        <v>25</v>
      </c>
      <c r="Q301" s="1" t="s">
        <v>26</v>
      </c>
      <c r="R301" s="7">
        <v>129905.02</v>
      </c>
      <c r="S301" s="7">
        <v>9278.93</v>
      </c>
      <c r="T301" s="7">
        <v>3366.99</v>
      </c>
      <c r="U301" s="7">
        <v>2162.85</v>
      </c>
      <c r="V301" s="7">
        <v>3749.09</v>
      </c>
      <c r="W301" s="10">
        <v>180.8955</v>
      </c>
      <c r="X301" s="10">
        <v>84.193399999999997</v>
      </c>
    </row>
    <row r="302" spans="1:24" x14ac:dyDescent="0.25">
      <c r="A302" t="s">
        <v>1171</v>
      </c>
      <c r="B302" t="s">
        <v>1172</v>
      </c>
      <c r="C302" s="1" t="s">
        <v>1173</v>
      </c>
      <c r="D302" s="1" t="s">
        <v>1647</v>
      </c>
      <c r="E302" s="1" t="s">
        <v>1174</v>
      </c>
      <c r="F302" s="1" t="s">
        <v>1696</v>
      </c>
      <c r="G302" s="1" t="s">
        <v>1585</v>
      </c>
      <c r="H302" s="1" t="s">
        <v>421</v>
      </c>
      <c r="I302" s="1" t="s">
        <v>22</v>
      </c>
      <c r="J302" s="1" t="s">
        <v>23</v>
      </c>
      <c r="K302" s="1" t="s">
        <v>24</v>
      </c>
      <c r="L302" s="1" t="s">
        <v>23</v>
      </c>
      <c r="M302" s="2">
        <v>45155</v>
      </c>
      <c r="N302" s="2" t="s">
        <v>25</v>
      </c>
      <c r="O302" s="2" t="s">
        <v>25</v>
      </c>
      <c r="P302" s="2" t="s">
        <v>25</v>
      </c>
      <c r="Q302" s="1" t="s">
        <v>26</v>
      </c>
      <c r="R302" s="7">
        <v>94946.32</v>
      </c>
      <c r="S302" s="7">
        <v>6781.88</v>
      </c>
      <c r="T302" s="7">
        <v>3366.99</v>
      </c>
      <c r="U302" s="7">
        <v>2162.85</v>
      </c>
      <c r="V302" s="7">
        <v>1252.04</v>
      </c>
      <c r="W302" s="10">
        <v>454.0299</v>
      </c>
      <c r="X302" s="10">
        <v>259.74549999999999</v>
      </c>
    </row>
    <row r="303" spans="1:24" x14ac:dyDescent="0.25">
      <c r="A303" t="s">
        <v>373</v>
      </c>
      <c r="B303" t="s">
        <v>1175</v>
      </c>
      <c r="C303" s="1" t="s">
        <v>1176</v>
      </c>
      <c r="D303" s="1" t="s">
        <v>1646</v>
      </c>
      <c r="E303" s="1" t="s">
        <v>1177</v>
      </c>
      <c r="F303" s="1" t="s">
        <v>1698</v>
      </c>
      <c r="G303" s="1" t="s">
        <v>1640</v>
      </c>
      <c r="H303" s="1" t="s">
        <v>324</v>
      </c>
      <c r="I303" s="1" t="s">
        <v>22</v>
      </c>
      <c r="J303" s="1" t="s">
        <v>32</v>
      </c>
      <c r="K303" s="1" t="s">
        <v>33</v>
      </c>
      <c r="L303" s="1" t="s">
        <v>32</v>
      </c>
      <c r="M303" s="2">
        <v>45155</v>
      </c>
      <c r="N303" s="2" t="s">
        <v>25</v>
      </c>
      <c r="O303" s="2" t="s">
        <v>25</v>
      </c>
      <c r="P303" s="2" t="s">
        <v>25</v>
      </c>
      <c r="Q303" s="1" t="s">
        <v>26</v>
      </c>
      <c r="R303" s="7">
        <v>108111.34</v>
      </c>
      <c r="S303" s="7">
        <v>6485.95</v>
      </c>
      <c r="T303" s="7">
        <v>3366.99</v>
      </c>
      <c r="U303" s="7">
        <v>2162.85</v>
      </c>
      <c r="V303" s="7">
        <v>0</v>
      </c>
      <c r="W303" s="10">
        <v>213.1343</v>
      </c>
      <c r="X303" s="10">
        <v>177.34350000000001</v>
      </c>
    </row>
    <row r="304" spans="1:24" x14ac:dyDescent="0.25">
      <c r="A304" t="s">
        <v>312</v>
      </c>
      <c r="B304" t="s">
        <v>1178</v>
      </c>
      <c r="C304" s="1" t="s">
        <v>1179</v>
      </c>
      <c r="D304" s="1" t="s">
        <v>1646</v>
      </c>
      <c r="E304" s="1" t="s">
        <v>1180</v>
      </c>
      <c r="F304" s="1" t="s">
        <v>1696</v>
      </c>
      <c r="G304" s="1" t="s">
        <v>1585</v>
      </c>
      <c r="H304" s="1" t="s">
        <v>95</v>
      </c>
      <c r="I304" s="1" t="s">
        <v>22</v>
      </c>
      <c r="J304" s="1" t="s">
        <v>125</v>
      </c>
      <c r="K304" s="1" t="s">
        <v>124</v>
      </c>
      <c r="L304" s="1" t="s">
        <v>125</v>
      </c>
      <c r="M304" s="2">
        <v>45155</v>
      </c>
      <c r="N304" s="2">
        <v>46052</v>
      </c>
      <c r="O304" s="2" t="s">
        <v>25</v>
      </c>
      <c r="P304" s="1" t="s">
        <v>1568</v>
      </c>
      <c r="Q304" s="1" t="s">
        <v>35</v>
      </c>
      <c r="R304" s="7">
        <v>124863.62</v>
      </c>
      <c r="S304" s="7">
        <v>8918.83</v>
      </c>
      <c r="T304" s="7">
        <v>3236.32</v>
      </c>
      <c r="U304" s="7">
        <v>2078.92</v>
      </c>
      <c r="V304" s="7">
        <v>3603.59</v>
      </c>
      <c r="W304" s="10">
        <v>274.92540000000002</v>
      </c>
      <c r="X304" s="10">
        <v>128.97710000000001</v>
      </c>
    </row>
    <row r="305" spans="1:24" x14ac:dyDescent="0.25">
      <c r="A305" t="s">
        <v>1181</v>
      </c>
      <c r="B305" t="s">
        <v>1182</v>
      </c>
      <c r="C305" s="1" t="s">
        <v>1183</v>
      </c>
      <c r="D305" s="1" t="s">
        <v>1646</v>
      </c>
      <c r="E305" s="1" t="s">
        <v>1184</v>
      </c>
      <c r="F305" s="1" t="s">
        <v>1696</v>
      </c>
      <c r="G305" s="1" t="s">
        <v>1585</v>
      </c>
      <c r="H305" s="1" t="s">
        <v>67</v>
      </c>
      <c r="I305" s="1" t="s">
        <v>22</v>
      </c>
      <c r="J305" s="1" t="s">
        <v>303</v>
      </c>
      <c r="K305" s="1" t="s">
        <v>304</v>
      </c>
      <c r="L305" s="1" t="s">
        <v>303</v>
      </c>
      <c r="M305" s="2">
        <v>45155</v>
      </c>
      <c r="N305" s="2">
        <v>45498</v>
      </c>
      <c r="O305" s="2" t="s">
        <v>25</v>
      </c>
      <c r="P305" s="1" t="s">
        <v>1091</v>
      </c>
      <c r="Q305" s="1" t="s">
        <v>35</v>
      </c>
      <c r="R305" s="7">
        <v>71897</v>
      </c>
      <c r="S305" s="7">
        <v>5135.5</v>
      </c>
      <c r="T305" s="7">
        <v>3142.14</v>
      </c>
      <c r="U305" s="7">
        <v>2018.41</v>
      </c>
      <c r="V305" s="7">
        <v>0</v>
      </c>
      <c r="W305" s="10">
        <v>94.925399999999996</v>
      </c>
      <c r="X305" s="10">
        <v>106.5852</v>
      </c>
    </row>
    <row r="306" spans="1:24" x14ac:dyDescent="0.25">
      <c r="A306" t="s">
        <v>337</v>
      </c>
      <c r="B306" t="s">
        <v>1185</v>
      </c>
      <c r="C306" s="1" t="s">
        <v>1186</v>
      </c>
      <c r="D306" s="1" t="s">
        <v>1646</v>
      </c>
      <c r="E306" s="1" t="s">
        <v>1187</v>
      </c>
      <c r="F306" s="1" t="s">
        <v>1696</v>
      </c>
      <c r="G306" s="1" t="s">
        <v>1585</v>
      </c>
      <c r="H306" s="1" t="s">
        <v>56</v>
      </c>
      <c r="I306" s="1" t="s">
        <v>22</v>
      </c>
      <c r="J306" s="1" t="s">
        <v>23</v>
      </c>
      <c r="K306" s="1" t="s">
        <v>24</v>
      </c>
      <c r="L306" s="1" t="s">
        <v>23</v>
      </c>
      <c r="M306" s="2">
        <v>45155</v>
      </c>
      <c r="N306" s="2" t="s">
        <v>25</v>
      </c>
      <c r="O306" s="2" t="s">
        <v>25</v>
      </c>
      <c r="P306" s="2" t="s">
        <v>25</v>
      </c>
      <c r="Q306" s="1" t="s">
        <v>26</v>
      </c>
      <c r="R306" s="7">
        <v>101392.76</v>
      </c>
      <c r="S306" s="7">
        <v>7242.34</v>
      </c>
      <c r="T306" s="7">
        <v>3366.99</v>
      </c>
      <c r="U306" s="7">
        <v>2162.85</v>
      </c>
      <c r="V306" s="7">
        <v>1712.5</v>
      </c>
      <c r="W306" s="10">
        <v>370.74630000000002</v>
      </c>
      <c r="X306" s="10">
        <v>173.76079999999999</v>
      </c>
    </row>
    <row r="307" spans="1:24" x14ac:dyDescent="0.25">
      <c r="A307" t="s">
        <v>1188</v>
      </c>
      <c r="B307" t="s">
        <v>1189</v>
      </c>
      <c r="C307" s="1" t="s">
        <v>1190</v>
      </c>
      <c r="D307" s="1" t="s">
        <v>1647</v>
      </c>
      <c r="E307" s="1" t="s">
        <v>1191</v>
      </c>
      <c r="F307" s="1" t="s">
        <v>1696</v>
      </c>
      <c r="G307" s="1" t="s">
        <v>1585</v>
      </c>
      <c r="H307" s="1" t="s">
        <v>479</v>
      </c>
      <c r="I307" s="1" t="s">
        <v>22</v>
      </c>
      <c r="J307" s="1" t="s">
        <v>23</v>
      </c>
      <c r="K307" s="1" t="s">
        <v>24</v>
      </c>
      <c r="L307" s="1" t="s">
        <v>23</v>
      </c>
      <c r="M307" s="2">
        <v>45155</v>
      </c>
      <c r="N307" s="2" t="s">
        <v>25</v>
      </c>
      <c r="O307" s="2" t="s">
        <v>25</v>
      </c>
      <c r="P307" s="2" t="s">
        <v>25</v>
      </c>
      <c r="Q307" s="1" t="s">
        <v>26</v>
      </c>
      <c r="R307" s="7">
        <v>94946.32</v>
      </c>
      <c r="S307" s="7">
        <v>6781.88</v>
      </c>
      <c r="T307" s="7">
        <v>3366.99</v>
      </c>
      <c r="U307" s="7">
        <v>2162.85</v>
      </c>
      <c r="V307" s="7">
        <v>1252.04</v>
      </c>
      <c r="W307" s="10">
        <v>428.05970000000002</v>
      </c>
      <c r="X307" s="10">
        <v>291.09410000000003</v>
      </c>
    </row>
    <row r="308" spans="1:24" x14ac:dyDescent="0.25">
      <c r="A308" t="s">
        <v>1096</v>
      </c>
      <c r="B308" t="s">
        <v>1192</v>
      </c>
      <c r="C308" s="1" t="s">
        <v>1193</v>
      </c>
      <c r="D308" s="1" t="s">
        <v>1646</v>
      </c>
      <c r="E308" s="1" t="s">
        <v>1194</v>
      </c>
      <c r="F308" s="1" t="s">
        <v>1696</v>
      </c>
      <c r="G308" s="1" t="s">
        <v>1585</v>
      </c>
      <c r="H308" s="1" t="s">
        <v>40</v>
      </c>
      <c r="I308" s="1" t="s">
        <v>22</v>
      </c>
      <c r="J308" s="1" t="s">
        <v>23</v>
      </c>
      <c r="K308" s="1" t="s">
        <v>24</v>
      </c>
      <c r="L308" s="1" t="s">
        <v>23</v>
      </c>
      <c r="M308" s="2">
        <v>45155</v>
      </c>
      <c r="N308" s="2" t="s">
        <v>25</v>
      </c>
      <c r="O308" s="2" t="s">
        <v>25</v>
      </c>
      <c r="P308" s="2" t="s">
        <v>25</v>
      </c>
      <c r="Q308" s="1" t="s">
        <v>26</v>
      </c>
      <c r="R308" s="7">
        <v>79119.740000000005</v>
      </c>
      <c r="S308" s="7">
        <v>5651.41</v>
      </c>
      <c r="T308" s="7">
        <v>3366.99</v>
      </c>
      <c r="U308" s="7">
        <v>1032.3800000000001</v>
      </c>
      <c r="V308" s="7">
        <v>1252.04</v>
      </c>
      <c r="W308" s="10">
        <v>451.3433</v>
      </c>
      <c r="X308" s="10">
        <v>313.48599999999999</v>
      </c>
    </row>
    <row r="309" spans="1:24" x14ac:dyDescent="0.25">
      <c r="A309" t="s">
        <v>1195</v>
      </c>
      <c r="B309" t="s">
        <v>1196</v>
      </c>
      <c r="C309" s="1" t="s">
        <v>1197</v>
      </c>
      <c r="D309" s="1" t="s">
        <v>1646</v>
      </c>
      <c r="E309" s="1" t="s">
        <v>1198</v>
      </c>
      <c r="F309" s="1" t="s">
        <v>1696</v>
      </c>
      <c r="G309" s="1" t="s">
        <v>1585</v>
      </c>
      <c r="H309" s="1" t="s">
        <v>144</v>
      </c>
      <c r="I309" s="1" t="s">
        <v>22</v>
      </c>
      <c r="J309" s="1" t="s">
        <v>32</v>
      </c>
      <c r="K309" s="1" t="s">
        <v>33</v>
      </c>
      <c r="L309" s="1" t="s">
        <v>32</v>
      </c>
      <c r="M309" s="2">
        <v>45631</v>
      </c>
      <c r="N309" s="2" t="s">
        <v>25</v>
      </c>
      <c r="O309" s="1" t="s">
        <v>937</v>
      </c>
      <c r="P309" s="2" t="s">
        <v>25</v>
      </c>
      <c r="Q309" s="1" t="s">
        <v>26</v>
      </c>
      <c r="R309" s="7">
        <v>89103.7</v>
      </c>
      <c r="S309" s="7">
        <v>6364.55</v>
      </c>
      <c r="T309" s="7">
        <v>3366.99</v>
      </c>
      <c r="U309" s="7">
        <v>2162.85</v>
      </c>
      <c r="V309" s="7">
        <v>834.71</v>
      </c>
      <c r="W309" s="10">
        <v>5.3731</v>
      </c>
      <c r="X309" s="10">
        <v>200.631</v>
      </c>
    </row>
    <row r="310" spans="1:24" x14ac:dyDescent="0.25">
      <c r="A310" t="s">
        <v>1199</v>
      </c>
      <c r="B310" t="s">
        <v>1200</v>
      </c>
      <c r="C310" s="1" t="s">
        <v>1201</v>
      </c>
      <c r="D310" s="1" t="s">
        <v>1646</v>
      </c>
      <c r="E310" s="1" t="s">
        <v>1202</v>
      </c>
      <c r="F310" s="1" t="s">
        <v>1696</v>
      </c>
      <c r="G310" s="1" t="s">
        <v>1585</v>
      </c>
      <c r="H310" s="1" t="s">
        <v>204</v>
      </c>
      <c r="I310" s="1" t="s">
        <v>22</v>
      </c>
      <c r="J310" s="1" t="s">
        <v>32</v>
      </c>
      <c r="K310" s="1" t="s">
        <v>33</v>
      </c>
      <c r="L310" s="1" t="s">
        <v>32</v>
      </c>
      <c r="M310" s="2">
        <v>45155</v>
      </c>
      <c r="N310" s="2" t="s">
        <v>25</v>
      </c>
      <c r="O310" s="2" t="s">
        <v>25</v>
      </c>
      <c r="P310" s="2" t="s">
        <v>25</v>
      </c>
      <c r="Q310" s="1" t="s">
        <v>26</v>
      </c>
      <c r="R310" s="7">
        <v>94946.32</v>
      </c>
      <c r="S310" s="7">
        <v>6781.88</v>
      </c>
      <c r="T310" s="7">
        <v>3366.99</v>
      </c>
      <c r="U310" s="7">
        <v>2162.85</v>
      </c>
      <c r="V310" s="7">
        <v>1252.04</v>
      </c>
      <c r="W310" s="10">
        <v>126.2687</v>
      </c>
      <c r="X310" s="10">
        <v>146.89060000000001</v>
      </c>
    </row>
    <row r="311" spans="1:24" x14ac:dyDescent="0.25">
      <c r="A311" t="s">
        <v>373</v>
      </c>
      <c r="B311" t="s">
        <v>1203</v>
      </c>
      <c r="C311" s="1" t="s">
        <v>1204</v>
      </c>
      <c r="D311" s="1" t="s">
        <v>1646</v>
      </c>
      <c r="E311" s="1" t="s">
        <v>1205</v>
      </c>
      <c r="F311" s="1" t="s">
        <v>1696</v>
      </c>
      <c r="G311" s="1" t="s">
        <v>1585</v>
      </c>
      <c r="H311" s="1" t="s">
        <v>515</v>
      </c>
      <c r="I311" s="1" t="s">
        <v>22</v>
      </c>
      <c r="J311" s="1" t="s">
        <v>23</v>
      </c>
      <c r="K311" s="1" t="s">
        <v>24</v>
      </c>
      <c r="L311" s="1" t="s">
        <v>23</v>
      </c>
      <c r="M311" s="2">
        <v>45155</v>
      </c>
      <c r="N311" s="2" t="s">
        <v>25</v>
      </c>
      <c r="O311" s="2" t="s">
        <v>25</v>
      </c>
      <c r="P311" s="2" t="s">
        <v>25</v>
      </c>
      <c r="Q311" s="1" t="s">
        <v>26</v>
      </c>
      <c r="R311" s="7">
        <v>89103.7</v>
      </c>
      <c r="S311" s="7">
        <v>6364.55</v>
      </c>
      <c r="T311" s="7">
        <v>3366.99</v>
      </c>
      <c r="U311" s="7">
        <v>2162.85</v>
      </c>
      <c r="V311" s="7">
        <v>834.71</v>
      </c>
      <c r="W311" s="10">
        <v>464.77609999999999</v>
      </c>
      <c r="X311" s="10">
        <v>148.68190000000001</v>
      </c>
    </row>
    <row r="312" spans="1:24" x14ac:dyDescent="0.25">
      <c r="A312" t="s">
        <v>1206</v>
      </c>
      <c r="B312" t="s">
        <v>1207</v>
      </c>
      <c r="C312" s="1" t="s">
        <v>1208</v>
      </c>
      <c r="D312" s="1" t="s">
        <v>1646</v>
      </c>
      <c r="E312" s="1" t="s">
        <v>1209</v>
      </c>
      <c r="F312" s="1" t="s">
        <v>1696</v>
      </c>
      <c r="G312" s="1" t="s">
        <v>1585</v>
      </c>
      <c r="H312" s="1" t="s">
        <v>67</v>
      </c>
      <c r="I312" s="1" t="s">
        <v>22</v>
      </c>
      <c r="J312" s="1" t="s">
        <v>32</v>
      </c>
      <c r="K312" s="1" t="s">
        <v>33</v>
      </c>
      <c r="L312" s="1" t="s">
        <v>32</v>
      </c>
      <c r="M312" s="2">
        <v>45155</v>
      </c>
      <c r="N312" s="2" t="s">
        <v>25</v>
      </c>
      <c r="O312" s="2" t="s">
        <v>25</v>
      </c>
      <c r="P312" s="2" t="s">
        <v>25</v>
      </c>
      <c r="Q312" s="1" t="s">
        <v>26</v>
      </c>
      <c r="R312" s="7">
        <v>101392.76</v>
      </c>
      <c r="S312" s="7">
        <v>7242.34</v>
      </c>
      <c r="T312" s="7">
        <v>3366.99</v>
      </c>
      <c r="U312" s="7">
        <v>2162.85</v>
      </c>
      <c r="V312" s="7">
        <v>1712.5</v>
      </c>
      <c r="W312" s="10">
        <v>50.149299999999997</v>
      </c>
      <c r="X312" s="10">
        <v>237.3537</v>
      </c>
    </row>
    <row r="313" spans="1:24" x14ac:dyDescent="0.25">
      <c r="A313" t="s">
        <v>847</v>
      </c>
      <c r="B313" t="s">
        <v>1210</v>
      </c>
      <c r="C313" s="1" t="s">
        <v>1211</v>
      </c>
      <c r="D313" s="1" t="s">
        <v>1646</v>
      </c>
      <c r="E313" s="1" t="s">
        <v>1212</v>
      </c>
      <c r="F313" s="1" t="s">
        <v>1696</v>
      </c>
      <c r="G313" s="1" t="s">
        <v>1585</v>
      </c>
      <c r="H313" s="1" t="s">
        <v>421</v>
      </c>
      <c r="I313" s="1" t="s">
        <v>22</v>
      </c>
      <c r="J313" s="1" t="s">
        <v>41</v>
      </c>
      <c r="K313" s="1" t="s">
        <v>42</v>
      </c>
      <c r="L313" s="1" t="s">
        <v>41</v>
      </c>
      <c r="M313" s="2">
        <v>45155</v>
      </c>
      <c r="N313" s="2" t="s">
        <v>25</v>
      </c>
      <c r="O313" s="2" t="s">
        <v>25</v>
      </c>
      <c r="P313" s="2" t="s">
        <v>25</v>
      </c>
      <c r="Q313" s="1" t="s">
        <v>26</v>
      </c>
      <c r="R313" s="7">
        <v>94946.32</v>
      </c>
      <c r="S313" s="7">
        <v>6781.88</v>
      </c>
      <c r="T313" s="7">
        <v>3366.99</v>
      </c>
      <c r="U313" s="7">
        <v>2162.85</v>
      </c>
      <c r="V313" s="7">
        <v>1252.04</v>
      </c>
      <c r="W313" s="10">
        <v>248.95519999999999</v>
      </c>
      <c r="X313" s="10">
        <v>50.157800000000002</v>
      </c>
    </row>
    <row r="314" spans="1:24" x14ac:dyDescent="0.25">
      <c r="A314" t="s">
        <v>1213</v>
      </c>
      <c r="B314" t="s">
        <v>1214</v>
      </c>
      <c r="C314" s="1" t="s">
        <v>1215</v>
      </c>
      <c r="D314" s="1" t="s">
        <v>1647</v>
      </c>
      <c r="E314" s="1" t="s">
        <v>1216</v>
      </c>
      <c r="F314" s="1" t="s">
        <v>1696</v>
      </c>
      <c r="G314" s="1" t="s">
        <v>1585</v>
      </c>
      <c r="H314" s="1" t="s">
        <v>447</v>
      </c>
      <c r="I314" s="1" t="s">
        <v>22</v>
      </c>
      <c r="J314" s="1" t="s">
        <v>23</v>
      </c>
      <c r="K314" s="1" t="s">
        <v>24</v>
      </c>
      <c r="L314" s="1" t="s">
        <v>23</v>
      </c>
      <c r="M314" s="2">
        <v>45155</v>
      </c>
      <c r="N314" s="2" t="s">
        <v>25</v>
      </c>
      <c r="O314" s="2" t="s">
        <v>25</v>
      </c>
      <c r="P314" s="2" t="s">
        <v>25</v>
      </c>
      <c r="Q314" s="1" t="s">
        <v>26</v>
      </c>
      <c r="R314" s="7">
        <v>89103.7</v>
      </c>
      <c r="S314" s="7">
        <v>6364.55</v>
      </c>
      <c r="T314" s="7">
        <v>3366.99</v>
      </c>
      <c r="U314" s="7">
        <v>2162.85</v>
      </c>
      <c r="V314" s="7">
        <v>834.71</v>
      </c>
      <c r="W314" s="10">
        <v>256.11939999999998</v>
      </c>
      <c r="X314" s="10">
        <v>5.3739999999999997</v>
      </c>
    </row>
    <row r="315" spans="1:24" x14ac:dyDescent="0.25">
      <c r="A315" t="s">
        <v>1217</v>
      </c>
      <c r="B315" t="s">
        <v>1218</v>
      </c>
      <c r="C315" s="1" t="s">
        <v>1219</v>
      </c>
      <c r="D315" s="1" t="s">
        <v>1647</v>
      </c>
      <c r="E315" s="1" t="s">
        <v>1220</v>
      </c>
      <c r="F315" s="1" t="s">
        <v>1696</v>
      </c>
      <c r="G315" s="1" t="s">
        <v>1585</v>
      </c>
      <c r="H315" s="1" t="s">
        <v>259</v>
      </c>
      <c r="I315" s="1" t="s">
        <v>22</v>
      </c>
      <c r="J315" s="1" t="s">
        <v>32</v>
      </c>
      <c r="K315" s="1" t="s">
        <v>33</v>
      </c>
      <c r="L315" s="1" t="s">
        <v>32</v>
      </c>
      <c r="M315" s="2">
        <v>45155</v>
      </c>
      <c r="N315" s="2" t="s">
        <v>25</v>
      </c>
      <c r="O315" s="2" t="s">
        <v>25</v>
      </c>
      <c r="P315" s="2" t="s">
        <v>25</v>
      </c>
      <c r="Q315" s="1" t="s">
        <v>26</v>
      </c>
      <c r="R315" s="7">
        <v>94946.32</v>
      </c>
      <c r="S315" s="7">
        <v>6781.88</v>
      </c>
      <c r="T315" s="7">
        <v>3366.99</v>
      </c>
      <c r="U315" s="7">
        <v>2162.85</v>
      </c>
      <c r="V315" s="7">
        <v>1252.04</v>
      </c>
      <c r="W315" s="10">
        <v>134.32839999999999</v>
      </c>
      <c r="X315" s="10">
        <v>138.8295</v>
      </c>
    </row>
    <row r="316" spans="1:24" x14ac:dyDescent="0.25">
      <c r="A316" t="s">
        <v>1221</v>
      </c>
      <c r="B316" t="s">
        <v>1222</v>
      </c>
      <c r="C316" s="1" t="s">
        <v>1223</v>
      </c>
      <c r="D316" s="1" t="s">
        <v>1646</v>
      </c>
      <c r="E316" s="1" t="s">
        <v>1224</v>
      </c>
      <c r="F316" s="1" t="s">
        <v>1696</v>
      </c>
      <c r="G316" s="1" t="s">
        <v>1585</v>
      </c>
      <c r="H316" s="1" t="s">
        <v>117</v>
      </c>
      <c r="I316" s="1" t="s">
        <v>22</v>
      </c>
      <c r="J316" s="1" t="s">
        <v>32</v>
      </c>
      <c r="K316" s="1" t="s">
        <v>33</v>
      </c>
      <c r="L316" s="1" t="s">
        <v>32</v>
      </c>
      <c r="M316" s="2">
        <v>45155</v>
      </c>
      <c r="N316" s="2" t="s">
        <v>25</v>
      </c>
      <c r="O316" s="2" t="s">
        <v>25</v>
      </c>
      <c r="P316" s="2" t="s">
        <v>25</v>
      </c>
      <c r="Q316" s="1" t="s">
        <v>26</v>
      </c>
      <c r="R316" s="7">
        <v>94946.32</v>
      </c>
      <c r="S316" s="7">
        <v>6781.88</v>
      </c>
      <c r="T316" s="7">
        <v>3366.99</v>
      </c>
      <c r="U316" s="7">
        <v>2162.85</v>
      </c>
      <c r="V316" s="7">
        <v>1252.04</v>
      </c>
      <c r="W316" s="10">
        <v>77.910399999999996</v>
      </c>
      <c r="X316" s="10">
        <v>184.50890000000001</v>
      </c>
    </row>
    <row r="317" spans="1:24" x14ac:dyDescent="0.25">
      <c r="A317" t="s">
        <v>1225</v>
      </c>
      <c r="B317" t="s">
        <v>1226</v>
      </c>
      <c r="C317" s="1" t="s">
        <v>1227</v>
      </c>
      <c r="D317" s="1" t="s">
        <v>1647</v>
      </c>
      <c r="E317" s="1" t="s">
        <v>1228</v>
      </c>
      <c r="F317" s="1" t="s">
        <v>1696</v>
      </c>
      <c r="G317" s="1" t="s">
        <v>1585</v>
      </c>
      <c r="H317" s="1" t="s">
        <v>40</v>
      </c>
      <c r="I317" s="1" t="s">
        <v>22</v>
      </c>
      <c r="J317" s="1" t="s">
        <v>125</v>
      </c>
      <c r="K317" s="1" t="s">
        <v>124</v>
      </c>
      <c r="L317" s="1" t="s">
        <v>125</v>
      </c>
      <c r="M317" s="2">
        <v>45589</v>
      </c>
      <c r="N317" s="2" t="s">
        <v>25</v>
      </c>
      <c r="O317" s="1" t="s">
        <v>498</v>
      </c>
      <c r="P317" s="2" t="s">
        <v>25</v>
      </c>
      <c r="Q317" s="1" t="s">
        <v>26</v>
      </c>
      <c r="R317" s="7">
        <v>85566.18</v>
      </c>
      <c r="S317" s="7">
        <v>6111.87</v>
      </c>
      <c r="T317" s="7">
        <v>3366.99</v>
      </c>
      <c r="U317" s="7">
        <v>1032.3800000000001</v>
      </c>
      <c r="V317" s="7">
        <v>1712.5</v>
      </c>
      <c r="W317" s="10">
        <v>261.49250000000001</v>
      </c>
      <c r="X317" s="10">
        <v>103.0025</v>
      </c>
    </row>
    <row r="318" spans="1:24" x14ac:dyDescent="0.25">
      <c r="A318" t="s">
        <v>1229</v>
      </c>
      <c r="B318" t="s">
        <v>1230</v>
      </c>
      <c r="C318" s="1" t="s">
        <v>1231</v>
      </c>
      <c r="D318" s="1" t="s">
        <v>1646</v>
      </c>
      <c r="E318" s="1" t="s">
        <v>1232</v>
      </c>
      <c r="F318" s="1" t="s">
        <v>1696</v>
      </c>
      <c r="G318" s="1" t="s">
        <v>1585</v>
      </c>
      <c r="H318" s="1" t="s">
        <v>250</v>
      </c>
      <c r="I318" s="1" t="s">
        <v>22</v>
      </c>
      <c r="J318" s="1" t="s">
        <v>32</v>
      </c>
      <c r="K318" s="1" t="s">
        <v>33</v>
      </c>
      <c r="L318" s="1" t="s">
        <v>32</v>
      </c>
      <c r="M318" s="2">
        <v>45155</v>
      </c>
      <c r="N318" s="2" t="s">
        <v>25</v>
      </c>
      <c r="O318" s="2" t="s">
        <v>25</v>
      </c>
      <c r="P318" s="2" t="s">
        <v>25</v>
      </c>
      <c r="Q318" s="1" t="s">
        <v>26</v>
      </c>
      <c r="R318" s="7">
        <v>89103.7</v>
      </c>
      <c r="S318" s="7">
        <v>6364.55</v>
      </c>
      <c r="T318" s="7">
        <v>3366.99</v>
      </c>
      <c r="U318" s="7">
        <v>2162.85</v>
      </c>
      <c r="V318" s="7">
        <v>834.71</v>
      </c>
      <c r="W318" s="10">
        <v>6.2686999999999999</v>
      </c>
      <c r="X318" s="10">
        <v>326.92110000000002</v>
      </c>
    </row>
    <row r="319" spans="1:24" x14ac:dyDescent="0.25">
      <c r="C319" s="1" t="s">
        <v>1686</v>
      </c>
      <c r="D319" s="1" t="s">
        <v>1647</v>
      </c>
      <c r="E319" s="1" t="s">
        <v>1631</v>
      </c>
      <c r="F319" s="1" t="s">
        <v>1698</v>
      </c>
      <c r="G319" s="1" t="s">
        <v>1655</v>
      </c>
      <c r="H319" s="1" t="s">
        <v>1692</v>
      </c>
      <c r="I319" s="1" t="s">
        <v>22</v>
      </c>
      <c r="J319" s="1" t="s">
        <v>32</v>
      </c>
      <c r="K319" s="1" t="s">
        <v>33</v>
      </c>
      <c r="L319" s="1" t="s">
        <v>1693</v>
      </c>
      <c r="M319" s="2">
        <v>45155</v>
      </c>
      <c r="N319" s="2" t="s">
        <v>25</v>
      </c>
      <c r="O319" s="2" t="s">
        <v>25</v>
      </c>
      <c r="P319" s="2" t="s">
        <v>25</v>
      </c>
      <c r="Q319" s="1" t="s">
        <v>26</v>
      </c>
      <c r="R319" s="7">
        <v>92429.99</v>
      </c>
      <c r="S319" s="7">
        <v>7702.49</v>
      </c>
      <c r="T319" s="7">
        <v>7702.49</v>
      </c>
      <c r="U319" s="7">
        <v>0</v>
      </c>
      <c r="V319" s="7">
        <v>0</v>
      </c>
      <c r="W319" s="10">
        <v>309.85070000000002</v>
      </c>
      <c r="X319" s="10">
        <v>238.24940000000001</v>
      </c>
    </row>
    <row r="320" spans="1:24" x14ac:dyDescent="0.25">
      <c r="A320" t="s">
        <v>589</v>
      </c>
      <c r="B320" t="s">
        <v>1233</v>
      </c>
      <c r="C320" s="1" t="s">
        <v>1234</v>
      </c>
      <c r="D320" s="1" t="s">
        <v>1646</v>
      </c>
      <c r="E320" s="1" t="s">
        <v>1235</v>
      </c>
      <c r="F320" s="1" t="s">
        <v>1696</v>
      </c>
      <c r="G320" s="1" t="s">
        <v>1585</v>
      </c>
      <c r="H320" s="1" t="s">
        <v>56</v>
      </c>
      <c r="I320" s="1" t="s">
        <v>22</v>
      </c>
      <c r="J320" s="1" t="s">
        <v>32</v>
      </c>
      <c r="K320" s="1" t="s">
        <v>33</v>
      </c>
      <c r="L320" s="1" t="s">
        <v>32</v>
      </c>
      <c r="M320" s="2">
        <v>45155</v>
      </c>
      <c r="N320" s="2">
        <v>45385</v>
      </c>
      <c r="O320" s="2" t="s">
        <v>25</v>
      </c>
      <c r="P320" s="1" t="s">
        <v>535</v>
      </c>
      <c r="Q320" s="1" t="s">
        <v>35</v>
      </c>
      <c r="R320" s="7">
        <v>71897</v>
      </c>
      <c r="S320" s="7">
        <v>5135.5</v>
      </c>
      <c r="T320" s="7">
        <v>3142.14</v>
      </c>
      <c r="U320" s="7">
        <v>2018.41</v>
      </c>
      <c r="V320" s="7">
        <v>0</v>
      </c>
      <c r="W320" s="10">
        <v>10.7463</v>
      </c>
      <c r="X320" s="10">
        <v>162.11699999999999</v>
      </c>
    </row>
    <row r="321" spans="1:24" x14ac:dyDescent="0.25">
      <c r="A321" t="s">
        <v>1236</v>
      </c>
      <c r="B321" t="s">
        <v>1237</v>
      </c>
      <c r="C321" s="1" t="s">
        <v>1238</v>
      </c>
      <c r="D321" s="1" t="s">
        <v>1646</v>
      </c>
      <c r="E321" s="1" t="s">
        <v>1239</v>
      </c>
      <c r="F321" s="1" t="s">
        <v>1696</v>
      </c>
      <c r="G321" s="1" t="s">
        <v>1585</v>
      </c>
      <c r="H321" s="1" t="s">
        <v>585</v>
      </c>
      <c r="I321" s="1" t="s">
        <v>22</v>
      </c>
      <c r="J321" s="1" t="s">
        <v>34</v>
      </c>
      <c r="K321" s="1" t="s">
        <v>1240</v>
      </c>
      <c r="L321" s="1" t="s">
        <v>34</v>
      </c>
      <c r="M321" s="2">
        <v>45155</v>
      </c>
      <c r="N321" s="2" t="s">
        <v>25</v>
      </c>
      <c r="O321" s="2" t="s">
        <v>25</v>
      </c>
      <c r="P321" s="2" t="s">
        <v>25</v>
      </c>
      <c r="Q321" s="1" t="s">
        <v>26</v>
      </c>
      <c r="R321" s="7">
        <v>129905.02</v>
      </c>
      <c r="S321" s="7">
        <v>9278.93</v>
      </c>
      <c r="T321" s="7">
        <v>3366.99</v>
      </c>
      <c r="U321" s="7">
        <v>2162.85</v>
      </c>
      <c r="V321" s="7">
        <v>3749.09</v>
      </c>
      <c r="W321" s="10">
        <v>297.3134</v>
      </c>
      <c r="X321" s="10">
        <v>80.610699999999994</v>
      </c>
    </row>
    <row r="322" spans="1:24" x14ac:dyDescent="0.25">
      <c r="A322" t="s">
        <v>1241</v>
      </c>
      <c r="B322" t="s">
        <v>1242</v>
      </c>
      <c r="C322" s="1" t="s">
        <v>1243</v>
      </c>
      <c r="D322" s="1" t="s">
        <v>1647</v>
      </c>
      <c r="E322" s="1" t="s">
        <v>1244</v>
      </c>
      <c r="F322" s="1" t="s">
        <v>1696</v>
      </c>
      <c r="G322" s="1" t="s">
        <v>1585</v>
      </c>
      <c r="H322" s="1" t="s">
        <v>139</v>
      </c>
      <c r="I322" s="1" t="s">
        <v>22</v>
      </c>
      <c r="J322" s="1" t="s">
        <v>62</v>
      </c>
      <c r="K322" s="1" t="s">
        <v>63</v>
      </c>
      <c r="L322" s="1" t="s">
        <v>62</v>
      </c>
      <c r="M322" s="2">
        <v>45155</v>
      </c>
      <c r="N322" s="2" t="s">
        <v>25</v>
      </c>
      <c r="O322" s="1" t="s">
        <v>502</v>
      </c>
      <c r="P322" s="2" t="s">
        <v>25</v>
      </c>
      <c r="Q322" s="1" t="s">
        <v>26</v>
      </c>
      <c r="R322" s="7">
        <v>94946.32</v>
      </c>
      <c r="S322" s="7">
        <v>6781.88</v>
      </c>
      <c r="T322" s="7">
        <v>3366.99</v>
      </c>
      <c r="U322" s="7">
        <v>2162.85</v>
      </c>
      <c r="V322" s="7">
        <v>1252.04</v>
      </c>
      <c r="W322" s="10">
        <v>288.35820000000001</v>
      </c>
      <c r="X322" s="10">
        <v>131.66409999999999</v>
      </c>
    </row>
    <row r="323" spans="1:24" x14ac:dyDescent="0.25">
      <c r="A323" t="s">
        <v>1245</v>
      </c>
      <c r="B323" t="s">
        <v>1246</v>
      </c>
      <c r="C323" s="1" t="s">
        <v>1247</v>
      </c>
      <c r="D323" s="1" t="s">
        <v>1646</v>
      </c>
      <c r="E323" s="1" t="s">
        <v>1248</v>
      </c>
      <c r="F323" s="1" t="s">
        <v>1696</v>
      </c>
      <c r="G323" s="1" t="s">
        <v>1585</v>
      </c>
      <c r="H323" s="1" t="s">
        <v>90</v>
      </c>
      <c r="I323" s="1" t="s">
        <v>22</v>
      </c>
      <c r="J323" s="1" t="s">
        <v>23</v>
      </c>
      <c r="K323" s="1" t="s">
        <v>24</v>
      </c>
      <c r="L323" s="1" t="s">
        <v>23</v>
      </c>
      <c r="M323" s="2">
        <v>45155</v>
      </c>
      <c r="N323" s="2" t="s">
        <v>25</v>
      </c>
      <c r="O323" s="2" t="s">
        <v>25</v>
      </c>
      <c r="P323" s="2" t="s">
        <v>25</v>
      </c>
      <c r="Q323" s="1" t="s">
        <v>26</v>
      </c>
      <c r="R323" s="7">
        <v>94946.32</v>
      </c>
      <c r="S323" s="7">
        <v>6781.88</v>
      </c>
      <c r="T323" s="7">
        <v>3366.99</v>
      </c>
      <c r="U323" s="7">
        <v>2162.85</v>
      </c>
      <c r="V323" s="7">
        <v>1252.04</v>
      </c>
      <c r="W323" s="10">
        <v>388.6567</v>
      </c>
      <c r="X323" s="10">
        <v>153.16030000000001</v>
      </c>
    </row>
    <row r="324" spans="1:24" x14ac:dyDescent="0.25">
      <c r="A324" t="s">
        <v>1249</v>
      </c>
      <c r="B324" t="s">
        <v>1250</v>
      </c>
      <c r="C324" s="1" t="s">
        <v>1251</v>
      </c>
      <c r="D324" s="1" t="s">
        <v>1646</v>
      </c>
      <c r="E324" s="1" t="s">
        <v>1252</v>
      </c>
      <c r="F324" s="1" t="s">
        <v>1696</v>
      </c>
      <c r="G324" s="1" t="s">
        <v>1585</v>
      </c>
      <c r="H324" s="1" t="s">
        <v>294</v>
      </c>
      <c r="I324" s="1" t="s">
        <v>22</v>
      </c>
      <c r="J324" s="1" t="s">
        <v>32</v>
      </c>
      <c r="K324" s="1" t="s">
        <v>33</v>
      </c>
      <c r="L324" s="1" t="s">
        <v>32</v>
      </c>
      <c r="M324" s="2">
        <v>45155</v>
      </c>
      <c r="N324" s="2" t="s">
        <v>25</v>
      </c>
      <c r="O324" s="2" t="s">
        <v>25</v>
      </c>
      <c r="P324" s="2" t="s">
        <v>25</v>
      </c>
      <c r="Q324" s="1" t="s">
        <v>26</v>
      </c>
      <c r="R324" s="7">
        <v>94946.32</v>
      </c>
      <c r="S324" s="7">
        <v>6781.88</v>
      </c>
      <c r="T324" s="7">
        <v>3366.99</v>
      </c>
      <c r="U324" s="7">
        <v>2162.85</v>
      </c>
      <c r="V324" s="7">
        <v>1252.04</v>
      </c>
      <c r="W324" s="10">
        <v>78.805999999999997</v>
      </c>
      <c r="X324" s="10">
        <v>88.671800000000005</v>
      </c>
    </row>
    <row r="325" spans="1:24" x14ac:dyDescent="0.25">
      <c r="A325" t="s">
        <v>1253</v>
      </c>
      <c r="B325" t="s">
        <v>1254</v>
      </c>
      <c r="C325" s="1" t="s">
        <v>1255</v>
      </c>
      <c r="D325" s="1" t="s">
        <v>1647</v>
      </c>
      <c r="E325" s="1" t="s">
        <v>1256</v>
      </c>
      <c r="F325" s="1" t="s">
        <v>1696</v>
      </c>
      <c r="G325" s="1" t="s">
        <v>1585</v>
      </c>
      <c r="H325" s="1" t="s">
        <v>31</v>
      </c>
      <c r="I325" s="1" t="s">
        <v>22</v>
      </c>
      <c r="J325" s="1" t="s">
        <v>23</v>
      </c>
      <c r="K325" s="1" t="s">
        <v>24</v>
      </c>
      <c r="L325" s="1" t="s">
        <v>23</v>
      </c>
      <c r="M325" s="2">
        <v>45155</v>
      </c>
      <c r="N325" s="2" t="s">
        <v>25</v>
      </c>
      <c r="O325" s="2" t="s">
        <v>25</v>
      </c>
      <c r="P325" s="2" t="s">
        <v>25</v>
      </c>
      <c r="Q325" s="1" t="s">
        <v>26</v>
      </c>
      <c r="R325" s="7">
        <v>94946.32</v>
      </c>
      <c r="S325" s="7">
        <v>6781.88</v>
      </c>
      <c r="T325" s="7">
        <v>3366.99</v>
      </c>
      <c r="U325" s="7">
        <v>2162.85</v>
      </c>
      <c r="V325" s="7">
        <v>1252.04</v>
      </c>
      <c r="W325" s="10">
        <v>394.0299</v>
      </c>
      <c r="X325" s="10">
        <v>79.715000000000003</v>
      </c>
    </row>
    <row r="326" spans="1:24" x14ac:dyDescent="0.25">
      <c r="A326" t="s">
        <v>783</v>
      </c>
      <c r="B326" t="s">
        <v>1257</v>
      </c>
      <c r="C326" s="1" t="s">
        <v>1258</v>
      </c>
      <c r="D326" s="1" t="s">
        <v>1647</v>
      </c>
      <c r="E326" s="1" t="s">
        <v>1259</v>
      </c>
      <c r="F326" s="1" t="s">
        <v>1698</v>
      </c>
      <c r="G326" s="1" t="s">
        <v>1658</v>
      </c>
      <c r="H326" s="1" t="s">
        <v>40</v>
      </c>
      <c r="I326" s="1" t="s">
        <v>22</v>
      </c>
      <c r="J326" s="1" t="s">
        <v>32</v>
      </c>
      <c r="K326" s="1" t="s">
        <v>33</v>
      </c>
      <c r="L326" s="1" t="s">
        <v>1693</v>
      </c>
      <c r="M326" s="2">
        <v>45155</v>
      </c>
      <c r="N326" s="2" t="s">
        <v>25</v>
      </c>
      <c r="O326" s="2" t="s">
        <v>25</v>
      </c>
      <c r="P326" s="1" t="s">
        <v>1679</v>
      </c>
      <c r="Q326" s="1" t="s">
        <v>35</v>
      </c>
      <c r="R326" s="7">
        <v>84600.72</v>
      </c>
      <c r="S326" s="7">
        <v>7050.06</v>
      </c>
      <c r="T326" s="7">
        <v>3366.99</v>
      </c>
      <c r="U326" s="7">
        <v>0</v>
      </c>
      <c r="V326" s="7">
        <v>0</v>
      </c>
      <c r="W326" s="10">
        <v>170.14930000000001</v>
      </c>
      <c r="X326" s="10">
        <v>238.24940000000001</v>
      </c>
    </row>
    <row r="327" spans="1:24" x14ac:dyDescent="0.25">
      <c r="A327" t="s">
        <v>1260</v>
      </c>
      <c r="B327" t="s">
        <v>1261</v>
      </c>
      <c r="C327" s="1" t="s">
        <v>1262</v>
      </c>
      <c r="D327" s="1" t="s">
        <v>1647</v>
      </c>
      <c r="E327" s="1" t="s">
        <v>1263</v>
      </c>
      <c r="F327" s="1" t="s">
        <v>1696</v>
      </c>
      <c r="G327" s="1" t="s">
        <v>1585</v>
      </c>
      <c r="H327" s="1" t="s">
        <v>179</v>
      </c>
      <c r="I327" s="1" t="s">
        <v>22</v>
      </c>
      <c r="J327" s="1" t="s">
        <v>125</v>
      </c>
      <c r="K327" s="1" t="s">
        <v>124</v>
      </c>
      <c r="L327" s="1" t="s">
        <v>125</v>
      </c>
      <c r="M327" s="2">
        <v>45155</v>
      </c>
      <c r="N327" s="2" t="s">
        <v>25</v>
      </c>
      <c r="O327" s="2" t="s">
        <v>25</v>
      </c>
      <c r="P327" s="2" t="s">
        <v>25</v>
      </c>
      <c r="Q327" s="1" t="s">
        <v>26</v>
      </c>
      <c r="R327" s="7">
        <v>101392.76</v>
      </c>
      <c r="S327" s="7">
        <v>7242.34</v>
      </c>
      <c r="T327" s="7">
        <v>3366.99</v>
      </c>
      <c r="U327" s="7">
        <v>2162.85</v>
      </c>
      <c r="V327" s="7">
        <v>1712.5</v>
      </c>
      <c r="W327" s="10">
        <v>238.209</v>
      </c>
      <c r="X327" s="10">
        <v>102.1069</v>
      </c>
    </row>
    <row r="328" spans="1:24" x14ac:dyDescent="0.25">
      <c r="A328" t="s">
        <v>1264</v>
      </c>
      <c r="B328" t="s">
        <v>1265</v>
      </c>
      <c r="C328" s="1" t="s">
        <v>1266</v>
      </c>
      <c r="D328" s="1" t="s">
        <v>1647</v>
      </c>
      <c r="E328" s="1" t="s">
        <v>1267</v>
      </c>
      <c r="F328" s="1" t="s">
        <v>1696</v>
      </c>
      <c r="G328" s="1" t="s">
        <v>1585</v>
      </c>
      <c r="H328" s="1" t="s">
        <v>40</v>
      </c>
      <c r="I328" s="1" t="s">
        <v>22</v>
      </c>
      <c r="J328" s="1" t="s">
        <v>23</v>
      </c>
      <c r="K328" s="1" t="s">
        <v>24</v>
      </c>
      <c r="L328" s="1" t="s">
        <v>23</v>
      </c>
      <c r="M328" s="2">
        <v>45155</v>
      </c>
      <c r="N328" s="2">
        <v>45310</v>
      </c>
      <c r="O328" s="2" t="s">
        <v>25</v>
      </c>
      <c r="P328" s="1" t="s">
        <v>1066</v>
      </c>
      <c r="Q328" s="1" t="s">
        <v>35</v>
      </c>
      <c r="R328" s="7">
        <v>54477.98</v>
      </c>
      <c r="S328" s="7">
        <v>4105.57</v>
      </c>
      <c r="T328" s="7">
        <v>3142.14</v>
      </c>
      <c r="U328" s="7">
        <v>963.43</v>
      </c>
      <c r="V328" s="7">
        <v>0</v>
      </c>
      <c r="W328" s="10">
        <v>406.56720000000001</v>
      </c>
      <c r="X328" s="10">
        <v>217.6489</v>
      </c>
    </row>
    <row r="329" spans="1:24" x14ac:dyDescent="0.25">
      <c r="A329" t="s">
        <v>1268</v>
      </c>
      <c r="B329" t="s">
        <v>1269</v>
      </c>
      <c r="C329" s="1" t="s">
        <v>1270</v>
      </c>
      <c r="D329" s="1" t="s">
        <v>1647</v>
      </c>
      <c r="E329" s="1" t="s">
        <v>1271</v>
      </c>
      <c r="F329" s="1" t="s">
        <v>1696</v>
      </c>
      <c r="G329" s="1" t="s">
        <v>1585</v>
      </c>
      <c r="H329" s="1" t="s">
        <v>285</v>
      </c>
      <c r="I329" s="1" t="s">
        <v>22</v>
      </c>
      <c r="J329" s="1" t="s">
        <v>32</v>
      </c>
      <c r="K329" s="1" t="s">
        <v>33</v>
      </c>
      <c r="L329" s="1" t="s">
        <v>32</v>
      </c>
      <c r="M329" s="2">
        <v>45155</v>
      </c>
      <c r="N329" s="2" t="s">
        <v>25</v>
      </c>
      <c r="O329" s="2" t="s">
        <v>25</v>
      </c>
      <c r="P329" s="2" t="s">
        <v>25</v>
      </c>
      <c r="Q329" s="1" t="s">
        <v>26</v>
      </c>
      <c r="R329" s="7">
        <v>94946.32</v>
      </c>
      <c r="S329" s="7">
        <v>6781.88</v>
      </c>
      <c r="T329" s="7">
        <v>3366.99</v>
      </c>
      <c r="U329" s="7">
        <v>2162.85</v>
      </c>
      <c r="V329" s="7">
        <v>1252.04</v>
      </c>
      <c r="W329" s="10">
        <v>5.3731</v>
      </c>
      <c r="X329" s="10">
        <v>291.09410000000003</v>
      </c>
    </row>
    <row r="330" spans="1:24" x14ac:dyDescent="0.25">
      <c r="A330" t="s">
        <v>903</v>
      </c>
      <c r="B330" t="s">
        <v>1272</v>
      </c>
      <c r="C330" s="1" t="s">
        <v>1273</v>
      </c>
      <c r="D330" s="1" t="s">
        <v>1647</v>
      </c>
      <c r="E330" s="1" t="s">
        <v>1274</v>
      </c>
      <c r="F330" s="1" t="s">
        <v>1698</v>
      </c>
      <c r="G330" s="1" t="s">
        <v>1638</v>
      </c>
      <c r="H330" s="1" t="s">
        <v>199</v>
      </c>
      <c r="I330" s="1" t="s">
        <v>22</v>
      </c>
      <c r="J330" s="1" t="s">
        <v>32</v>
      </c>
      <c r="K330" s="1" t="s">
        <v>33</v>
      </c>
      <c r="L330" s="1" t="s">
        <v>1693</v>
      </c>
      <c r="M330" s="2">
        <v>45155</v>
      </c>
      <c r="N330" s="2" t="s">
        <v>25</v>
      </c>
      <c r="O330" s="2" t="s">
        <v>25</v>
      </c>
      <c r="P330" s="2" t="s">
        <v>25</v>
      </c>
      <c r="Q330" s="1" t="s">
        <v>26</v>
      </c>
      <c r="R330" s="7">
        <v>80190</v>
      </c>
      <c r="S330" s="7">
        <v>6682.5</v>
      </c>
      <c r="T330" s="7">
        <v>3366.99</v>
      </c>
      <c r="U330" s="7">
        <v>0</v>
      </c>
      <c r="V330" s="7">
        <v>0</v>
      </c>
      <c r="W330" s="10">
        <v>171.04480000000001</v>
      </c>
      <c r="X330" s="10">
        <v>206.0051</v>
      </c>
    </row>
    <row r="331" spans="1:24" x14ac:dyDescent="0.25">
      <c r="A331" t="s">
        <v>927</v>
      </c>
      <c r="B331" t="s">
        <v>1275</v>
      </c>
      <c r="C331" s="1" t="s">
        <v>1276</v>
      </c>
      <c r="D331" s="1" t="s">
        <v>1646</v>
      </c>
      <c r="E331" s="1" t="s">
        <v>1277</v>
      </c>
      <c r="F331" s="1" t="s">
        <v>1696</v>
      </c>
      <c r="G331" s="1" t="s">
        <v>1585</v>
      </c>
      <c r="H331" s="1" t="s">
        <v>285</v>
      </c>
      <c r="I331" s="1" t="s">
        <v>22</v>
      </c>
      <c r="J331" s="1" t="s">
        <v>41</v>
      </c>
      <c r="K331" s="1" t="s">
        <v>42</v>
      </c>
      <c r="L331" s="1" t="s">
        <v>41</v>
      </c>
      <c r="M331" s="2">
        <v>45155</v>
      </c>
      <c r="N331" s="2" t="s">
        <v>25</v>
      </c>
      <c r="O331" s="2" t="s">
        <v>25</v>
      </c>
      <c r="P331" s="2" t="s">
        <v>25</v>
      </c>
      <c r="Q331" s="1" t="s">
        <v>26</v>
      </c>
      <c r="R331" s="7">
        <v>94946.32</v>
      </c>
      <c r="S331" s="7">
        <v>6781.88</v>
      </c>
      <c r="T331" s="7">
        <v>3366.99</v>
      </c>
      <c r="U331" s="7">
        <v>2162.85</v>
      </c>
      <c r="V331" s="7">
        <v>1252.04</v>
      </c>
      <c r="W331" s="10">
        <v>237.3134</v>
      </c>
      <c r="X331" s="10">
        <v>50.157800000000002</v>
      </c>
    </row>
    <row r="332" spans="1:24" x14ac:dyDescent="0.25">
      <c r="A332" t="s">
        <v>1278</v>
      </c>
      <c r="B332" t="s">
        <v>1279</v>
      </c>
      <c r="C332" s="1" t="s">
        <v>1280</v>
      </c>
      <c r="D332" s="1" t="s">
        <v>1646</v>
      </c>
      <c r="E332" s="1" t="s">
        <v>1281</v>
      </c>
      <c r="F332" s="1" t="s">
        <v>1696</v>
      </c>
      <c r="G332" s="1" t="s">
        <v>1585</v>
      </c>
      <c r="H332" s="1" t="s">
        <v>416</v>
      </c>
      <c r="I332" s="1" t="s">
        <v>22</v>
      </c>
      <c r="J332" s="1" t="s">
        <v>41</v>
      </c>
      <c r="K332" s="1" t="s">
        <v>42</v>
      </c>
      <c r="L332" s="1" t="s">
        <v>41</v>
      </c>
      <c r="M332" s="2">
        <v>45155</v>
      </c>
      <c r="N332" s="2" t="s">
        <v>25</v>
      </c>
      <c r="O332" s="2" t="s">
        <v>25</v>
      </c>
      <c r="P332" s="2" t="s">
        <v>25</v>
      </c>
      <c r="Q332" s="1" t="s">
        <v>26</v>
      </c>
      <c r="R332" s="7">
        <v>94946.32</v>
      </c>
      <c r="S332" s="7">
        <v>6781.88</v>
      </c>
      <c r="T332" s="7">
        <v>3366.99</v>
      </c>
      <c r="U332" s="7">
        <v>2162.85</v>
      </c>
      <c r="V332" s="7">
        <v>1252.04</v>
      </c>
      <c r="W332" s="10">
        <v>325.9701</v>
      </c>
      <c r="X332" s="10">
        <v>66.279899999999998</v>
      </c>
    </row>
    <row r="333" spans="1:24" x14ac:dyDescent="0.25">
      <c r="A333" t="s">
        <v>269</v>
      </c>
      <c r="B333" t="s">
        <v>1282</v>
      </c>
      <c r="C333" s="1" t="s">
        <v>1283</v>
      </c>
      <c r="D333" s="1" t="s">
        <v>1647</v>
      </c>
      <c r="E333" s="1" t="s">
        <v>1284</v>
      </c>
      <c r="F333" s="1" t="s">
        <v>1696</v>
      </c>
      <c r="G333" s="1" t="s">
        <v>1585</v>
      </c>
      <c r="H333" s="1" t="s">
        <v>199</v>
      </c>
      <c r="I333" s="1" t="s">
        <v>22</v>
      </c>
      <c r="J333" s="1" t="s">
        <v>23</v>
      </c>
      <c r="K333" s="1" t="s">
        <v>24</v>
      </c>
      <c r="L333" s="1" t="s">
        <v>23</v>
      </c>
      <c r="M333" s="2">
        <v>45155</v>
      </c>
      <c r="N333" s="2" t="s">
        <v>25</v>
      </c>
      <c r="O333" s="2" t="s">
        <v>25</v>
      </c>
      <c r="P333" s="2" t="s">
        <v>25</v>
      </c>
      <c r="Q333" s="1" t="s">
        <v>26</v>
      </c>
      <c r="R333" s="7">
        <v>94946.32</v>
      </c>
      <c r="S333" s="7">
        <v>6781.88</v>
      </c>
      <c r="T333" s="7">
        <v>3366.99</v>
      </c>
      <c r="U333" s="7">
        <v>2162.85</v>
      </c>
      <c r="V333" s="7">
        <v>1252.04</v>
      </c>
      <c r="W333" s="10">
        <v>426.26870000000002</v>
      </c>
      <c r="X333" s="10">
        <v>187.19589999999999</v>
      </c>
    </row>
    <row r="334" spans="1:24" x14ac:dyDescent="0.25">
      <c r="A334" t="s">
        <v>1285</v>
      </c>
      <c r="B334" t="s">
        <v>1286</v>
      </c>
      <c r="C334" s="1" t="s">
        <v>1287</v>
      </c>
      <c r="D334" s="1" t="s">
        <v>1647</v>
      </c>
      <c r="E334" s="1" t="s">
        <v>1288</v>
      </c>
      <c r="F334" s="1" t="s">
        <v>1696</v>
      </c>
      <c r="G334" s="1" t="s">
        <v>1585</v>
      </c>
      <c r="H334" s="1" t="s">
        <v>40</v>
      </c>
      <c r="I334" s="1" t="s">
        <v>22</v>
      </c>
      <c r="J334" s="1" t="s">
        <v>41</v>
      </c>
      <c r="K334" s="1" t="s">
        <v>42</v>
      </c>
      <c r="L334" s="1" t="s">
        <v>41</v>
      </c>
      <c r="M334" s="2">
        <v>45155</v>
      </c>
      <c r="N334" s="2" t="s">
        <v>25</v>
      </c>
      <c r="O334" s="2" t="s">
        <v>25</v>
      </c>
      <c r="P334" s="2" t="s">
        <v>25</v>
      </c>
      <c r="Q334" s="1" t="s">
        <v>26</v>
      </c>
      <c r="R334" s="7">
        <v>106354.92</v>
      </c>
      <c r="S334" s="7">
        <v>7596.78</v>
      </c>
      <c r="T334" s="7">
        <v>3366.99</v>
      </c>
      <c r="U334" s="7">
        <v>1032.3800000000001</v>
      </c>
      <c r="V334" s="7">
        <v>3197.41</v>
      </c>
      <c r="W334" s="10">
        <v>321.49250000000001</v>
      </c>
      <c r="X334" s="10">
        <v>180.03049999999999</v>
      </c>
    </row>
    <row r="335" spans="1:24" x14ac:dyDescent="0.25">
      <c r="A335" t="s">
        <v>759</v>
      </c>
      <c r="B335" t="s">
        <v>1289</v>
      </c>
      <c r="C335" s="1" t="s">
        <v>1290</v>
      </c>
      <c r="D335" s="1" t="s">
        <v>1647</v>
      </c>
      <c r="E335" s="1" t="s">
        <v>1291</v>
      </c>
      <c r="F335" s="1" t="s">
        <v>1698</v>
      </c>
      <c r="G335" s="1" t="s">
        <v>1649</v>
      </c>
      <c r="H335" s="1" t="s">
        <v>250</v>
      </c>
      <c r="I335" s="1" t="s">
        <v>22</v>
      </c>
      <c r="J335" s="1" t="s">
        <v>32</v>
      </c>
      <c r="K335" s="1" t="s">
        <v>33</v>
      </c>
      <c r="L335" s="1" t="s">
        <v>1693</v>
      </c>
      <c r="M335" s="2">
        <v>45155</v>
      </c>
      <c r="N335" s="2" t="s">
        <v>25</v>
      </c>
      <c r="O335" s="2" t="s">
        <v>25</v>
      </c>
      <c r="P335" s="2" t="s">
        <v>25</v>
      </c>
      <c r="Q335" s="1" t="s">
        <v>26</v>
      </c>
      <c r="R335" s="7">
        <v>84650.52</v>
      </c>
      <c r="S335" s="7">
        <v>7054.21</v>
      </c>
      <c r="T335" s="7">
        <v>3366.99</v>
      </c>
      <c r="U335" s="7">
        <v>0</v>
      </c>
      <c r="V335" s="7">
        <v>0</v>
      </c>
      <c r="W335" s="10">
        <v>299.10449999999997</v>
      </c>
      <c r="X335" s="10">
        <v>186.30029999999999</v>
      </c>
    </row>
    <row r="336" spans="1:24" x14ac:dyDescent="0.25">
      <c r="A336" t="s">
        <v>1292</v>
      </c>
      <c r="B336" t="s">
        <v>1293</v>
      </c>
      <c r="C336" s="1" t="s">
        <v>1294</v>
      </c>
      <c r="D336" s="1" t="s">
        <v>1646</v>
      </c>
      <c r="E336" s="1" t="s">
        <v>1295</v>
      </c>
      <c r="F336" s="1" t="s">
        <v>1697</v>
      </c>
      <c r="G336" s="1" t="s">
        <v>1669</v>
      </c>
      <c r="H336" s="1" t="s">
        <v>179</v>
      </c>
      <c r="I336" s="1" t="s">
        <v>22</v>
      </c>
      <c r="J336" s="1" t="s">
        <v>32</v>
      </c>
      <c r="K336" s="1" t="s">
        <v>33</v>
      </c>
      <c r="L336" s="1" t="s">
        <v>32</v>
      </c>
      <c r="M336" s="2">
        <v>45155</v>
      </c>
      <c r="N336" s="2" t="s">
        <v>25</v>
      </c>
      <c r="O336" s="2" t="s">
        <v>25</v>
      </c>
      <c r="P336" s="2" t="s">
        <v>25</v>
      </c>
      <c r="Q336" s="1" t="s">
        <v>26</v>
      </c>
      <c r="R336" s="7">
        <v>144074</v>
      </c>
      <c r="S336" s="7">
        <v>10291</v>
      </c>
      <c r="T336" s="7">
        <v>3366.99</v>
      </c>
      <c r="U336" s="7">
        <v>2162.85</v>
      </c>
      <c r="V336" s="7">
        <v>4761.16</v>
      </c>
      <c r="W336" s="10">
        <v>263.28359999999998</v>
      </c>
      <c r="X336" s="10">
        <v>342.14760000000001</v>
      </c>
    </row>
    <row r="337" spans="1:24" x14ac:dyDescent="0.25">
      <c r="A337" t="s">
        <v>1296</v>
      </c>
      <c r="B337" t="s">
        <v>1297</v>
      </c>
      <c r="C337" s="1" t="s">
        <v>1298</v>
      </c>
      <c r="D337" s="1" t="s">
        <v>1647</v>
      </c>
      <c r="E337" s="1" t="s">
        <v>1299</v>
      </c>
      <c r="F337" s="1" t="s">
        <v>1696</v>
      </c>
      <c r="G337" s="1" t="s">
        <v>1585</v>
      </c>
      <c r="H337" s="1" t="s">
        <v>40</v>
      </c>
      <c r="I337" s="1" t="s">
        <v>22</v>
      </c>
      <c r="J337" s="1" t="s">
        <v>23</v>
      </c>
      <c r="K337" s="1" t="s">
        <v>24</v>
      </c>
      <c r="L337" s="1" t="s">
        <v>23</v>
      </c>
      <c r="M337" s="2">
        <v>45862</v>
      </c>
      <c r="N337" s="2" t="s">
        <v>25</v>
      </c>
      <c r="O337" s="1" t="s">
        <v>1062</v>
      </c>
      <c r="P337" s="2" t="s">
        <v>25</v>
      </c>
      <c r="Q337" s="1" t="s">
        <v>26</v>
      </c>
      <c r="R337" s="7">
        <v>79119.740000000005</v>
      </c>
      <c r="S337" s="7">
        <v>5651.41</v>
      </c>
      <c r="T337" s="7">
        <v>3366.99</v>
      </c>
      <c r="U337" s="7">
        <v>1032.3800000000001</v>
      </c>
      <c r="V337" s="7">
        <v>1252.04</v>
      </c>
      <c r="W337" s="10">
        <v>413.73129999999998</v>
      </c>
      <c r="X337" s="10">
        <v>147.78630000000001</v>
      </c>
    </row>
    <row r="338" spans="1:24" x14ac:dyDescent="0.25">
      <c r="A338" t="s">
        <v>96</v>
      </c>
      <c r="B338" t="s">
        <v>1300</v>
      </c>
      <c r="C338" s="1" t="s">
        <v>1301</v>
      </c>
      <c r="D338" s="1" t="s">
        <v>1646</v>
      </c>
      <c r="E338" s="1" t="s">
        <v>1302</v>
      </c>
      <c r="F338" s="1" t="s">
        <v>1696</v>
      </c>
      <c r="G338" s="1" t="s">
        <v>1585</v>
      </c>
      <c r="H338" s="1" t="s">
        <v>40</v>
      </c>
      <c r="I338" s="1" t="s">
        <v>22</v>
      </c>
      <c r="J338" s="1" t="s">
        <v>32</v>
      </c>
      <c r="K338" s="1" t="s">
        <v>33</v>
      </c>
      <c r="L338" s="1" t="s">
        <v>32</v>
      </c>
      <c r="M338" s="2">
        <v>45155</v>
      </c>
      <c r="N338" s="2" t="s">
        <v>25</v>
      </c>
      <c r="O338" s="1" t="s">
        <v>1258</v>
      </c>
      <c r="P338" s="2" t="s">
        <v>25</v>
      </c>
      <c r="Q338" s="1" t="s">
        <v>26</v>
      </c>
      <c r="R338" s="7">
        <v>79119.740000000005</v>
      </c>
      <c r="S338" s="7">
        <v>5651.41</v>
      </c>
      <c r="T338" s="7">
        <v>3366.99</v>
      </c>
      <c r="U338" s="7">
        <v>1032.3800000000001</v>
      </c>
      <c r="V338" s="7">
        <v>1252.04</v>
      </c>
      <c r="W338" s="10">
        <v>98.507499999999993</v>
      </c>
      <c r="X338" s="10">
        <v>237.3537</v>
      </c>
    </row>
    <row r="339" spans="1:24" x14ac:dyDescent="0.25">
      <c r="A339" t="s">
        <v>260</v>
      </c>
      <c r="B339" t="s">
        <v>1303</v>
      </c>
      <c r="C339" s="1" t="s">
        <v>1304</v>
      </c>
      <c r="D339" s="1" t="s">
        <v>1646</v>
      </c>
      <c r="E339" s="1" t="s">
        <v>1305</v>
      </c>
      <c r="F339" s="1" t="s">
        <v>1696</v>
      </c>
      <c r="G339" s="1" t="s">
        <v>1585</v>
      </c>
      <c r="H339" s="1" t="s">
        <v>447</v>
      </c>
      <c r="I339" s="1" t="s">
        <v>22</v>
      </c>
      <c r="J339" s="1" t="s">
        <v>32</v>
      </c>
      <c r="K339" s="1" t="s">
        <v>33</v>
      </c>
      <c r="L339" s="1" t="s">
        <v>32</v>
      </c>
      <c r="M339" s="2">
        <v>45155</v>
      </c>
      <c r="N339" s="2" t="s">
        <v>25</v>
      </c>
      <c r="O339" s="2" t="s">
        <v>25</v>
      </c>
      <c r="P339" s="2" t="s">
        <v>25</v>
      </c>
      <c r="Q339" s="1" t="s">
        <v>26</v>
      </c>
      <c r="R339" s="7">
        <v>94946.32</v>
      </c>
      <c r="S339" s="7">
        <v>6781.88</v>
      </c>
      <c r="T339" s="7">
        <v>3366.99</v>
      </c>
      <c r="U339" s="7">
        <v>2162.85</v>
      </c>
      <c r="V339" s="7">
        <v>1252.04</v>
      </c>
      <c r="W339" s="10">
        <v>99.403000000000006</v>
      </c>
      <c r="X339" s="10">
        <v>248.9975</v>
      </c>
    </row>
    <row r="340" spans="1:24" x14ac:dyDescent="0.25">
      <c r="A340" t="s">
        <v>1306</v>
      </c>
      <c r="B340" t="s">
        <v>1307</v>
      </c>
      <c r="C340" s="1" t="s">
        <v>1308</v>
      </c>
      <c r="D340" s="1" t="s">
        <v>1646</v>
      </c>
      <c r="E340" s="1" t="s">
        <v>1309</v>
      </c>
      <c r="F340" s="1" t="s">
        <v>1696</v>
      </c>
      <c r="G340" s="1" t="s">
        <v>1585</v>
      </c>
      <c r="H340" s="1" t="s">
        <v>67</v>
      </c>
      <c r="I340" s="1" t="s">
        <v>22</v>
      </c>
      <c r="J340" s="1" t="s">
        <v>23</v>
      </c>
      <c r="K340" s="1" t="s">
        <v>24</v>
      </c>
      <c r="L340" s="1" t="s">
        <v>23</v>
      </c>
      <c r="M340" s="2">
        <v>45155</v>
      </c>
      <c r="N340" s="2" t="s">
        <v>25</v>
      </c>
      <c r="O340" s="2" t="s">
        <v>25</v>
      </c>
      <c r="P340" s="2" t="s">
        <v>25</v>
      </c>
      <c r="Q340" s="1" t="s">
        <v>26</v>
      </c>
      <c r="R340" s="7">
        <v>94946.32</v>
      </c>
      <c r="S340" s="7">
        <v>6781.88</v>
      </c>
      <c r="T340" s="7">
        <v>3366.99</v>
      </c>
      <c r="U340" s="7">
        <v>2162.85</v>
      </c>
      <c r="V340" s="7">
        <v>1252.04</v>
      </c>
      <c r="W340" s="10">
        <v>473.73129999999998</v>
      </c>
      <c r="X340" s="10">
        <v>270.49360000000001</v>
      </c>
    </row>
    <row r="341" spans="1:24" x14ac:dyDescent="0.25">
      <c r="A341" t="s">
        <v>621</v>
      </c>
      <c r="B341" t="s">
        <v>1310</v>
      </c>
      <c r="C341" s="1" t="s">
        <v>1311</v>
      </c>
      <c r="D341" s="1" t="s">
        <v>1647</v>
      </c>
      <c r="E341" s="1" t="s">
        <v>1312</v>
      </c>
      <c r="F341" s="1" t="s">
        <v>1696</v>
      </c>
      <c r="G341" s="1" t="s">
        <v>1585</v>
      </c>
      <c r="H341" s="1" t="s">
        <v>144</v>
      </c>
      <c r="I341" s="1" t="s">
        <v>22</v>
      </c>
      <c r="J341" s="1" t="s">
        <v>32</v>
      </c>
      <c r="K341" s="1" t="s">
        <v>33</v>
      </c>
      <c r="L341" s="1" t="s">
        <v>32</v>
      </c>
      <c r="M341" s="2">
        <v>45266</v>
      </c>
      <c r="N341" s="2" t="s">
        <v>25</v>
      </c>
      <c r="O341" s="1" t="s">
        <v>638</v>
      </c>
      <c r="P341" s="2" t="s">
        <v>25</v>
      </c>
      <c r="Q341" s="1" t="s">
        <v>26</v>
      </c>
      <c r="R341" s="7">
        <v>89103.7</v>
      </c>
      <c r="S341" s="7">
        <v>6364.55</v>
      </c>
      <c r="T341" s="7">
        <v>3366.99</v>
      </c>
      <c r="U341" s="7">
        <v>2162.85</v>
      </c>
      <c r="V341" s="7">
        <v>834.71</v>
      </c>
      <c r="W341" s="10">
        <v>29.552199999999999</v>
      </c>
      <c r="X341" s="10">
        <v>344.83460000000002</v>
      </c>
    </row>
    <row r="342" spans="1:24" x14ac:dyDescent="0.25">
      <c r="A342" t="s">
        <v>167</v>
      </c>
      <c r="B342" t="s">
        <v>1313</v>
      </c>
      <c r="C342" s="1" t="s">
        <v>1314</v>
      </c>
      <c r="D342" s="1" t="s">
        <v>1646</v>
      </c>
      <c r="E342" s="1" t="s">
        <v>1315</v>
      </c>
      <c r="F342" s="1" t="s">
        <v>1696</v>
      </c>
      <c r="G342" s="1" t="s">
        <v>1585</v>
      </c>
      <c r="H342" s="1" t="s">
        <v>447</v>
      </c>
      <c r="I342" s="1" t="s">
        <v>22</v>
      </c>
      <c r="J342" s="1" t="s">
        <v>23</v>
      </c>
      <c r="K342" s="1" t="s">
        <v>24</v>
      </c>
      <c r="L342" s="1" t="s">
        <v>23</v>
      </c>
      <c r="M342" s="2">
        <v>45155</v>
      </c>
      <c r="N342" s="2" t="s">
        <v>25</v>
      </c>
      <c r="O342" s="2" t="s">
        <v>25</v>
      </c>
      <c r="P342" s="2" t="s">
        <v>25</v>
      </c>
      <c r="Q342" s="1" t="s">
        <v>26</v>
      </c>
      <c r="R342" s="7">
        <v>94946.32</v>
      </c>
      <c r="S342" s="7">
        <v>6781.88</v>
      </c>
      <c r="T342" s="7">
        <v>3366.99</v>
      </c>
      <c r="U342" s="7">
        <v>2162.85</v>
      </c>
      <c r="V342" s="7">
        <v>1252.04</v>
      </c>
      <c r="W342" s="10">
        <v>403.88060000000002</v>
      </c>
      <c r="X342" s="10">
        <v>195.25700000000001</v>
      </c>
    </row>
    <row r="343" spans="1:24" x14ac:dyDescent="0.25">
      <c r="A343" t="s">
        <v>652</v>
      </c>
      <c r="B343" t="s">
        <v>1316</v>
      </c>
      <c r="C343" s="1" t="s">
        <v>1317</v>
      </c>
      <c r="D343" s="1" t="s">
        <v>1646</v>
      </c>
      <c r="E343" s="1" t="s">
        <v>1318</v>
      </c>
      <c r="F343" s="1" t="s">
        <v>1696</v>
      </c>
      <c r="G343" s="1" t="s">
        <v>1585</v>
      </c>
      <c r="H343" s="1" t="s">
        <v>144</v>
      </c>
      <c r="I343" s="1" t="s">
        <v>22</v>
      </c>
      <c r="J343" s="1" t="s">
        <v>23</v>
      </c>
      <c r="K343" s="1" t="s">
        <v>24</v>
      </c>
      <c r="L343" s="1" t="s">
        <v>23</v>
      </c>
      <c r="M343" s="2">
        <v>45155</v>
      </c>
      <c r="N343" s="2" t="s">
        <v>25</v>
      </c>
      <c r="O343" s="2" t="s">
        <v>25</v>
      </c>
      <c r="P343" s="2" t="s">
        <v>25</v>
      </c>
      <c r="Q343" s="1" t="s">
        <v>26</v>
      </c>
      <c r="R343" s="7">
        <v>94946.32</v>
      </c>
      <c r="S343" s="7">
        <v>6781.88</v>
      </c>
      <c r="T343" s="7">
        <v>3366.99</v>
      </c>
      <c r="U343" s="7">
        <v>2162.85</v>
      </c>
      <c r="V343" s="7">
        <v>1252.04</v>
      </c>
      <c r="W343" s="10">
        <v>474.62689999999998</v>
      </c>
      <c r="X343" s="10">
        <v>248.9975</v>
      </c>
    </row>
    <row r="344" spans="1:24" x14ac:dyDescent="0.25">
      <c r="A344" t="s">
        <v>200</v>
      </c>
      <c r="B344" t="s">
        <v>1319</v>
      </c>
      <c r="C344" s="1" t="s">
        <v>1320</v>
      </c>
      <c r="D344" s="1" t="s">
        <v>1646</v>
      </c>
      <c r="E344" s="1" t="s">
        <v>1321</v>
      </c>
      <c r="F344" s="1" t="s">
        <v>1696</v>
      </c>
      <c r="G344" s="1" t="s">
        <v>1585</v>
      </c>
      <c r="H344" s="1" t="s">
        <v>832</v>
      </c>
      <c r="I344" s="1" t="s">
        <v>22</v>
      </c>
      <c r="J344" s="1" t="s">
        <v>32</v>
      </c>
      <c r="K344" s="1" t="s">
        <v>33</v>
      </c>
      <c r="L344" s="1" t="s">
        <v>32</v>
      </c>
      <c r="M344" s="2">
        <v>45155</v>
      </c>
      <c r="N344" s="2" t="s">
        <v>25</v>
      </c>
      <c r="O344" s="2" t="s">
        <v>25</v>
      </c>
      <c r="P344" s="2" t="s">
        <v>25</v>
      </c>
      <c r="Q344" s="1" t="s">
        <v>26</v>
      </c>
      <c r="R344" s="7">
        <v>94946.32</v>
      </c>
      <c r="S344" s="7">
        <v>6781.88</v>
      </c>
      <c r="T344" s="7">
        <v>3366.99</v>
      </c>
      <c r="U344" s="7">
        <v>2162.85</v>
      </c>
      <c r="V344" s="7">
        <v>1252.04</v>
      </c>
      <c r="W344" s="10">
        <v>26.8657</v>
      </c>
      <c r="X344" s="10">
        <v>259.74549999999999</v>
      </c>
    </row>
    <row r="345" spans="1:24" x14ac:dyDescent="0.25">
      <c r="A345" t="s">
        <v>349</v>
      </c>
      <c r="B345" t="s">
        <v>1322</v>
      </c>
      <c r="C345" s="1" t="s">
        <v>1323</v>
      </c>
      <c r="D345" s="1" t="s">
        <v>1646</v>
      </c>
      <c r="E345" s="1" t="s">
        <v>1324</v>
      </c>
      <c r="F345" s="1" t="s">
        <v>1696</v>
      </c>
      <c r="G345" s="1" t="s">
        <v>1585</v>
      </c>
      <c r="H345" s="1" t="s">
        <v>832</v>
      </c>
      <c r="I345" s="1" t="s">
        <v>22</v>
      </c>
      <c r="J345" s="1" t="s">
        <v>23</v>
      </c>
      <c r="K345" s="1" t="s">
        <v>24</v>
      </c>
      <c r="L345" s="1" t="s">
        <v>23</v>
      </c>
      <c r="M345" s="2">
        <v>45155</v>
      </c>
      <c r="N345" s="2" t="s">
        <v>25</v>
      </c>
      <c r="O345" s="2" t="s">
        <v>25</v>
      </c>
      <c r="P345" s="2" t="s">
        <v>25</v>
      </c>
      <c r="Q345" s="1" t="s">
        <v>26</v>
      </c>
      <c r="R345" s="7">
        <v>94946.32</v>
      </c>
      <c r="S345" s="7">
        <v>6781.88</v>
      </c>
      <c r="T345" s="7">
        <v>3366.99</v>
      </c>
      <c r="U345" s="7">
        <v>2162.85</v>
      </c>
      <c r="V345" s="7">
        <v>1252.04</v>
      </c>
      <c r="W345" s="10">
        <v>402.98509999999999</v>
      </c>
      <c r="X345" s="10">
        <v>184.50890000000001</v>
      </c>
    </row>
    <row r="346" spans="1:24" x14ac:dyDescent="0.25">
      <c r="A346" t="s">
        <v>1325</v>
      </c>
      <c r="B346" t="s">
        <v>1326</v>
      </c>
      <c r="C346" s="1" t="s">
        <v>1327</v>
      </c>
      <c r="D346" s="1" t="s">
        <v>1646</v>
      </c>
      <c r="E346" s="1" t="s">
        <v>1328</v>
      </c>
      <c r="F346" s="1" t="s">
        <v>1696</v>
      </c>
      <c r="G346" s="1" t="s">
        <v>1585</v>
      </c>
      <c r="H346" s="1" t="s">
        <v>189</v>
      </c>
      <c r="I346" s="1" t="s">
        <v>22</v>
      </c>
      <c r="J346" s="1" t="s">
        <v>23</v>
      </c>
      <c r="K346" s="1" t="s">
        <v>24</v>
      </c>
      <c r="L346" s="1" t="s">
        <v>23</v>
      </c>
      <c r="M346" s="2">
        <v>45155</v>
      </c>
      <c r="N346" s="2" t="s">
        <v>25</v>
      </c>
      <c r="O346" s="2" t="s">
        <v>25</v>
      </c>
      <c r="P346" s="2" t="s">
        <v>25</v>
      </c>
      <c r="Q346" s="1" t="s">
        <v>26</v>
      </c>
      <c r="R346" s="7">
        <v>94946.32</v>
      </c>
      <c r="S346" s="7">
        <v>6781.88</v>
      </c>
      <c r="T346" s="7">
        <v>3366.99</v>
      </c>
      <c r="U346" s="7">
        <v>2162.85</v>
      </c>
      <c r="V346" s="7">
        <v>1252.04</v>
      </c>
      <c r="W346" s="10">
        <v>452.23880000000003</v>
      </c>
      <c r="X346" s="10">
        <v>302.73790000000002</v>
      </c>
    </row>
    <row r="347" spans="1:24" x14ac:dyDescent="0.25">
      <c r="A347" t="s">
        <v>417</v>
      </c>
      <c r="B347" t="s">
        <v>1329</v>
      </c>
      <c r="C347" s="1" t="s">
        <v>1330</v>
      </c>
      <c r="D347" s="1" t="s">
        <v>1647</v>
      </c>
      <c r="E347" s="1" t="s">
        <v>1331</v>
      </c>
      <c r="F347" s="1" t="s">
        <v>1696</v>
      </c>
      <c r="G347" s="1" t="s">
        <v>1585</v>
      </c>
      <c r="H347" s="1" t="s">
        <v>61</v>
      </c>
      <c r="I347" s="1" t="s">
        <v>22</v>
      </c>
      <c r="J347" s="1" t="s">
        <v>32</v>
      </c>
      <c r="K347" s="1" t="s">
        <v>33</v>
      </c>
      <c r="L347" s="1" t="s">
        <v>32</v>
      </c>
      <c r="M347" s="2">
        <v>45155</v>
      </c>
      <c r="N347" s="2" t="s">
        <v>25</v>
      </c>
      <c r="O347" s="2" t="s">
        <v>25</v>
      </c>
      <c r="P347" s="2" t="s">
        <v>25</v>
      </c>
      <c r="Q347" s="1" t="s">
        <v>26</v>
      </c>
      <c r="R347" s="7">
        <v>94946.32</v>
      </c>
      <c r="S347" s="7">
        <v>6781.88</v>
      </c>
      <c r="T347" s="7">
        <v>3366.99</v>
      </c>
      <c r="U347" s="7">
        <v>2162.85</v>
      </c>
      <c r="V347" s="7">
        <v>1252.04</v>
      </c>
      <c r="W347" s="10">
        <v>100.2985</v>
      </c>
      <c r="X347" s="10">
        <v>205.10939999999999</v>
      </c>
    </row>
    <row r="348" spans="1:24" x14ac:dyDescent="0.25">
      <c r="A348" t="s">
        <v>1332</v>
      </c>
      <c r="B348" t="s">
        <v>1333</v>
      </c>
      <c r="C348" s="1" t="s">
        <v>1334</v>
      </c>
      <c r="D348" s="1" t="s">
        <v>1647</v>
      </c>
      <c r="E348" s="1" t="s">
        <v>1335</v>
      </c>
      <c r="F348" s="1" t="s">
        <v>1696</v>
      </c>
      <c r="G348" s="1" t="s">
        <v>1585</v>
      </c>
      <c r="H348" s="1" t="s">
        <v>179</v>
      </c>
      <c r="I348" s="1" t="s">
        <v>22</v>
      </c>
      <c r="J348" s="1" t="s">
        <v>41</v>
      </c>
      <c r="K348" s="1" t="s">
        <v>42</v>
      </c>
      <c r="L348" s="1" t="s">
        <v>41</v>
      </c>
      <c r="M348" s="2">
        <v>45155</v>
      </c>
      <c r="N348" s="2" t="s">
        <v>25</v>
      </c>
      <c r="O348" s="2" t="s">
        <v>25</v>
      </c>
      <c r="P348" s="2" t="s">
        <v>25</v>
      </c>
      <c r="Q348" s="1" t="s">
        <v>26</v>
      </c>
      <c r="R348" s="7">
        <v>94946.32</v>
      </c>
      <c r="S348" s="7">
        <v>6781.88</v>
      </c>
      <c r="T348" s="7">
        <v>3366.99</v>
      </c>
      <c r="U348" s="7">
        <v>2162.85</v>
      </c>
      <c r="V348" s="7">
        <v>1252.04</v>
      </c>
      <c r="W348" s="10">
        <v>341.19400000000002</v>
      </c>
      <c r="X348" s="10">
        <v>168.38679999999999</v>
      </c>
    </row>
    <row r="349" spans="1:24" x14ac:dyDescent="0.25">
      <c r="A349" t="s">
        <v>1336</v>
      </c>
      <c r="B349" t="s">
        <v>1337</v>
      </c>
      <c r="C349" s="1" t="s">
        <v>1338</v>
      </c>
      <c r="D349" s="1" t="s">
        <v>1647</v>
      </c>
      <c r="E349" s="1" t="s">
        <v>1339</v>
      </c>
      <c r="F349" s="1" t="s">
        <v>1696</v>
      </c>
      <c r="G349" s="1" t="s">
        <v>1585</v>
      </c>
      <c r="H349" s="1" t="s">
        <v>204</v>
      </c>
      <c r="I349" s="1" t="s">
        <v>22</v>
      </c>
      <c r="J349" s="1" t="s">
        <v>32</v>
      </c>
      <c r="K349" s="1" t="s">
        <v>33</v>
      </c>
      <c r="L349" s="1" t="s">
        <v>32</v>
      </c>
      <c r="M349" s="2">
        <v>45155</v>
      </c>
      <c r="N349" s="2" t="s">
        <v>25</v>
      </c>
      <c r="O349" s="2" t="s">
        <v>25</v>
      </c>
      <c r="P349" s="2" t="s">
        <v>25</v>
      </c>
      <c r="Q349" s="1" t="s">
        <v>26</v>
      </c>
      <c r="R349" s="7">
        <v>101392.76</v>
      </c>
      <c r="S349" s="7">
        <v>7242.34</v>
      </c>
      <c r="T349" s="7">
        <v>3366.99</v>
      </c>
      <c r="U349" s="7">
        <v>2162.85</v>
      </c>
      <c r="V349" s="7">
        <v>1712.5</v>
      </c>
      <c r="W349" s="10">
        <v>126.2687</v>
      </c>
      <c r="X349" s="10">
        <v>190.77860000000001</v>
      </c>
    </row>
    <row r="350" spans="1:24" x14ac:dyDescent="0.25">
      <c r="A350" t="s">
        <v>269</v>
      </c>
      <c r="B350" t="s">
        <v>1340</v>
      </c>
      <c r="C350" s="1" t="s">
        <v>1341</v>
      </c>
      <c r="D350" s="1" t="s">
        <v>1647</v>
      </c>
      <c r="E350" s="1" t="s">
        <v>1342</v>
      </c>
      <c r="F350" s="1" t="s">
        <v>1696</v>
      </c>
      <c r="G350" s="1" t="s">
        <v>1585</v>
      </c>
      <c r="H350" s="1" t="s">
        <v>259</v>
      </c>
      <c r="I350" s="1" t="s">
        <v>22</v>
      </c>
      <c r="J350" s="1" t="s">
        <v>41</v>
      </c>
      <c r="K350" s="1" t="s">
        <v>42</v>
      </c>
      <c r="L350" s="1" t="s">
        <v>41</v>
      </c>
      <c r="M350" s="2">
        <v>45155</v>
      </c>
      <c r="N350" s="2" t="s">
        <v>25</v>
      </c>
      <c r="O350" s="2" t="s">
        <v>25</v>
      </c>
      <c r="P350" s="2" t="s">
        <v>25</v>
      </c>
      <c r="Q350" s="1" t="s">
        <v>26</v>
      </c>
      <c r="R350" s="7">
        <v>94946.32</v>
      </c>
      <c r="S350" s="7">
        <v>6781.88</v>
      </c>
      <c r="T350" s="7">
        <v>3366.99</v>
      </c>
      <c r="U350" s="7">
        <v>2162.85</v>
      </c>
      <c r="V350" s="7">
        <v>1252.04</v>
      </c>
      <c r="W350" s="10">
        <v>209.5522</v>
      </c>
      <c r="X350" s="10">
        <v>51.949100000000001</v>
      </c>
    </row>
    <row r="351" spans="1:24" x14ac:dyDescent="0.25">
      <c r="A351" t="s">
        <v>265</v>
      </c>
      <c r="B351" t="s">
        <v>1343</v>
      </c>
      <c r="C351" s="1" t="s">
        <v>1344</v>
      </c>
      <c r="D351" s="1" t="s">
        <v>1646</v>
      </c>
      <c r="E351" s="1" t="s">
        <v>1345</v>
      </c>
      <c r="F351" s="1" t="s">
        <v>1696</v>
      </c>
      <c r="G351" s="1" t="s">
        <v>1585</v>
      </c>
      <c r="H351" s="1" t="s">
        <v>67</v>
      </c>
      <c r="I351" s="1" t="s">
        <v>22</v>
      </c>
      <c r="J351" s="1" t="s">
        <v>123</v>
      </c>
      <c r="K351" s="1" t="s">
        <v>149</v>
      </c>
      <c r="L351" s="1" t="s">
        <v>123</v>
      </c>
      <c r="M351" s="2">
        <v>45155</v>
      </c>
      <c r="N351" s="2" t="s">
        <v>25</v>
      </c>
      <c r="O351" s="2" t="s">
        <v>25</v>
      </c>
      <c r="P351" s="2" t="s">
        <v>25</v>
      </c>
      <c r="Q351" s="1" t="s">
        <v>26</v>
      </c>
      <c r="R351" s="7">
        <v>139710.06</v>
      </c>
      <c r="S351" s="7">
        <v>9979.2900000000009</v>
      </c>
      <c r="T351" s="7">
        <v>3366.99</v>
      </c>
      <c r="U351" s="7">
        <v>2162.85</v>
      </c>
      <c r="V351" s="7">
        <v>4449.45</v>
      </c>
      <c r="W351" s="10">
        <v>312.53730000000002</v>
      </c>
      <c r="X351" s="10">
        <v>117.33329999999999</v>
      </c>
    </row>
    <row r="352" spans="1:24" x14ac:dyDescent="0.25">
      <c r="A352" t="s">
        <v>772</v>
      </c>
      <c r="B352" t="s">
        <v>1346</v>
      </c>
      <c r="C352" s="1" t="s">
        <v>1347</v>
      </c>
      <c r="D352" s="1" t="s">
        <v>1646</v>
      </c>
      <c r="E352" s="1" t="s">
        <v>1348</v>
      </c>
      <c r="F352" s="1" t="s">
        <v>1696</v>
      </c>
      <c r="G352" s="1" t="s">
        <v>1585</v>
      </c>
      <c r="H352" s="1" t="s">
        <v>189</v>
      </c>
      <c r="I352" s="1" t="s">
        <v>22</v>
      </c>
      <c r="J352" s="1" t="s">
        <v>32</v>
      </c>
      <c r="K352" s="1" t="s">
        <v>33</v>
      </c>
      <c r="L352" s="1" t="s">
        <v>32</v>
      </c>
      <c r="M352" s="2">
        <v>45155</v>
      </c>
      <c r="N352" s="2" t="s">
        <v>25</v>
      </c>
      <c r="O352" s="2" t="s">
        <v>25</v>
      </c>
      <c r="P352" s="2" t="s">
        <v>25</v>
      </c>
      <c r="Q352" s="1" t="s">
        <v>26</v>
      </c>
      <c r="R352" s="7">
        <v>101392.76</v>
      </c>
      <c r="S352" s="7">
        <v>7242.34</v>
      </c>
      <c r="T352" s="7">
        <v>3366.99</v>
      </c>
      <c r="U352" s="7">
        <v>2162.85</v>
      </c>
      <c r="V352" s="7">
        <v>1712.5</v>
      </c>
      <c r="W352" s="10">
        <v>138.80600000000001</v>
      </c>
      <c r="X352" s="10">
        <v>169.2824</v>
      </c>
    </row>
    <row r="353" spans="1:24" x14ac:dyDescent="0.25">
      <c r="A353" t="s">
        <v>1349</v>
      </c>
      <c r="B353" t="s">
        <v>1350</v>
      </c>
      <c r="C353" s="1" t="s">
        <v>1351</v>
      </c>
      <c r="D353" s="1" t="s">
        <v>1646</v>
      </c>
      <c r="E353" s="1" t="s">
        <v>1352</v>
      </c>
      <c r="F353" s="1" t="s">
        <v>1696</v>
      </c>
      <c r="G353" s="1" t="s">
        <v>1585</v>
      </c>
      <c r="H353" s="1" t="s">
        <v>95</v>
      </c>
      <c r="I353" s="1" t="s">
        <v>22</v>
      </c>
      <c r="J353" s="1" t="s">
        <v>32</v>
      </c>
      <c r="K353" s="1" t="s">
        <v>33</v>
      </c>
      <c r="L353" s="1" t="s">
        <v>32</v>
      </c>
      <c r="M353" s="2">
        <v>45155</v>
      </c>
      <c r="N353" s="2" t="s">
        <v>25</v>
      </c>
      <c r="O353" s="2" t="s">
        <v>25</v>
      </c>
      <c r="P353" s="2" t="s">
        <v>25</v>
      </c>
      <c r="Q353" s="1" t="s">
        <v>26</v>
      </c>
      <c r="R353" s="7">
        <v>94946.32</v>
      </c>
      <c r="S353" s="7">
        <v>6781.88</v>
      </c>
      <c r="T353" s="7">
        <v>3366.99</v>
      </c>
      <c r="U353" s="7">
        <v>2162.85</v>
      </c>
      <c r="V353" s="7">
        <v>1252.04</v>
      </c>
      <c r="W353" s="10">
        <v>52.835799999999999</v>
      </c>
      <c r="X353" s="10">
        <v>313.48599999999999</v>
      </c>
    </row>
    <row r="354" spans="1:24" x14ac:dyDescent="0.25">
      <c r="A354" t="s">
        <v>1353</v>
      </c>
      <c r="B354" t="s">
        <v>1354</v>
      </c>
      <c r="C354" s="1" t="s">
        <v>1355</v>
      </c>
      <c r="D354" s="1" t="s">
        <v>1646</v>
      </c>
      <c r="E354" s="1" t="s">
        <v>1356</v>
      </c>
      <c r="F354" s="1" t="s">
        <v>1696</v>
      </c>
      <c r="G354" s="1" t="s">
        <v>1585</v>
      </c>
      <c r="H354" s="1" t="s">
        <v>222</v>
      </c>
      <c r="I354" s="1" t="s">
        <v>22</v>
      </c>
      <c r="J354" s="1" t="s">
        <v>80</v>
      </c>
      <c r="K354" s="1" t="s">
        <v>81</v>
      </c>
      <c r="L354" s="1" t="s">
        <v>80</v>
      </c>
      <c r="M354" s="2">
        <v>45155</v>
      </c>
      <c r="N354" s="2">
        <v>45702</v>
      </c>
      <c r="O354" s="1" t="s">
        <v>1081</v>
      </c>
      <c r="P354" s="2" t="s">
        <v>25</v>
      </c>
      <c r="Q354" s="1" t="s">
        <v>35</v>
      </c>
      <c r="R354" s="7">
        <v>71897</v>
      </c>
      <c r="S354" s="7">
        <v>5135.5</v>
      </c>
      <c r="T354" s="7">
        <v>3142.14</v>
      </c>
      <c r="U354" s="7">
        <v>2018.41</v>
      </c>
      <c r="V354" s="7">
        <v>0</v>
      </c>
      <c r="W354" s="10">
        <v>147.7612</v>
      </c>
      <c r="X354" s="10">
        <v>72.549599999999998</v>
      </c>
    </row>
    <row r="355" spans="1:24" x14ac:dyDescent="0.25">
      <c r="A355" t="s">
        <v>1357</v>
      </c>
      <c r="B355" t="s">
        <v>1358</v>
      </c>
      <c r="C355" s="1" t="s">
        <v>1359</v>
      </c>
      <c r="D355" s="1" t="s">
        <v>1647</v>
      </c>
      <c r="E355" s="1" t="s">
        <v>1360</v>
      </c>
      <c r="F355" s="1" t="s">
        <v>1696</v>
      </c>
      <c r="G355" s="1" t="s">
        <v>1585</v>
      </c>
      <c r="H355" s="1" t="s">
        <v>40</v>
      </c>
      <c r="I355" s="1" t="s">
        <v>22</v>
      </c>
      <c r="J355" s="1" t="s">
        <v>41</v>
      </c>
      <c r="K355" s="1" t="s">
        <v>42</v>
      </c>
      <c r="L355" s="1" t="s">
        <v>41</v>
      </c>
      <c r="M355" s="2">
        <v>45155</v>
      </c>
      <c r="N355" s="2" t="s">
        <v>25</v>
      </c>
      <c r="O355" s="2" t="s">
        <v>25</v>
      </c>
      <c r="P355" s="2" t="s">
        <v>25</v>
      </c>
      <c r="Q355" s="1" t="s">
        <v>26</v>
      </c>
      <c r="R355" s="7">
        <v>96549.88</v>
      </c>
      <c r="S355" s="7">
        <v>6896.42</v>
      </c>
      <c r="T355" s="7">
        <v>3366.99</v>
      </c>
      <c r="U355" s="7">
        <v>1032.3800000000001</v>
      </c>
      <c r="V355" s="7">
        <v>2497.0500000000002</v>
      </c>
      <c r="W355" s="10">
        <v>324.17910000000001</v>
      </c>
      <c r="X355" s="10">
        <v>153.16030000000001</v>
      </c>
    </row>
    <row r="356" spans="1:24" x14ac:dyDescent="0.25">
      <c r="A356" t="s">
        <v>162</v>
      </c>
      <c r="B356" t="s">
        <v>1361</v>
      </c>
      <c r="C356" s="1" t="s">
        <v>1362</v>
      </c>
      <c r="D356" s="1" t="s">
        <v>1646</v>
      </c>
      <c r="E356" s="1" t="s">
        <v>1363</v>
      </c>
      <c r="F356" s="1" t="s">
        <v>1696</v>
      </c>
      <c r="G356" s="1" t="s">
        <v>1585</v>
      </c>
      <c r="H356" s="1" t="s">
        <v>324</v>
      </c>
      <c r="I356" s="1" t="s">
        <v>22</v>
      </c>
      <c r="J356" s="1" t="s">
        <v>41</v>
      </c>
      <c r="K356" s="1" t="s">
        <v>42</v>
      </c>
      <c r="L356" s="1" t="s">
        <v>41</v>
      </c>
      <c r="M356" s="2">
        <v>45155</v>
      </c>
      <c r="N356" s="2" t="s">
        <v>25</v>
      </c>
      <c r="O356" s="2" t="s">
        <v>25</v>
      </c>
      <c r="P356" s="2" t="s">
        <v>25</v>
      </c>
      <c r="Q356" s="1" t="s">
        <v>26</v>
      </c>
      <c r="R356" s="7">
        <v>94946.32</v>
      </c>
      <c r="S356" s="7">
        <v>6781.88</v>
      </c>
      <c r="T356" s="7">
        <v>3366.99</v>
      </c>
      <c r="U356" s="7">
        <v>2162.85</v>
      </c>
      <c r="V356" s="7">
        <v>1252.04</v>
      </c>
      <c r="W356" s="10">
        <v>346.56720000000001</v>
      </c>
      <c r="X356" s="10">
        <v>139.7252</v>
      </c>
    </row>
    <row r="357" spans="1:24" x14ac:dyDescent="0.25">
      <c r="A357" t="s">
        <v>1364</v>
      </c>
      <c r="B357" t="s">
        <v>1365</v>
      </c>
      <c r="C357" s="1" t="s">
        <v>1366</v>
      </c>
      <c r="D357" s="1" t="s">
        <v>1646</v>
      </c>
      <c r="E357" s="1" t="s">
        <v>1367</v>
      </c>
      <c r="F357" s="1" t="s">
        <v>1696</v>
      </c>
      <c r="G357" s="1" t="s">
        <v>1585</v>
      </c>
      <c r="H357" s="1" t="s">
        <v>763</v>
      </c>
      <c r="I357" s="1" t="s">
        <v>22</v>
      </c>
      <c r="J357" s="1" t="s">
        <v>32</v>
      </c>
      <c r="K357" s="1" t="s">
        <v>33</v>
      </c>
      <c r="L357" s="1" t="s">
        <v>32</v>
      </c>
      <c r="M357" s="2">
        <v>45155</v>
      </c>
      <c r="N357" s="2" t="s">
        <v>25</v>
      </c>
      <c r="O357" s="2" t="s">
        <v>25</v>
      </c>
      <c r="P357" s="2" t="s">
        <v>25</v>
      </c>
      <c r="Q357" s="1" t="s">
        <v>26</v>
      </c>
      <c r="R357" s="7">
        <v>94946.32</v>
      </c>
      <c r="S357" s="7">
        <v>6781.88</v>
      </c>
      <c r="T357" s="7">
        <v>3366.99</v>
      </c>
      <c r="U357" s="7">
        <v>2162.85</v>
      </c>
      <c r="V357" s="7">
        <v>1252.04</v>
      </c>
      <c r="W357" s="10">
        <v>50.149299999999997</v>
      </c>
      <c r="X357" s="10">
        <v>259.74549999999999</v>
      </c>
    </row>
    <row r="358" spans="1:24" x14ac:dyDescent="0.25">
      <c r="A358" t="s">
        <v>1368</v>
      </c>
      <c r="B358" t="s">
        <v>1369</v>
      </c>
      <c r="C358" s="1" t="s">
        <v>1370</v>
      </c>
      <c r="D358" s="1" t="s">
        <v>1647</v>
      </c>
      <c r="E358" s="1" t="s">
        <v>1371</v>
      </c>
      <c r="F358" s="1" t="s">
        <v>1696</v>
      </c>
      <c r="G358" s="1" t="s">
        <v>1585</v>
      </c>
      <c r="H358" s="1" t="s">
        <v>139</v>
      </c>
      <c r="I358" s="1" t="s">
        <v>22</v>
      </c>
      <c r="J358" s="1" t="s">
        <v>62</v>
      </c>
      <c r="K358" s="1" t="s">
        <v>63</v>
      </c>
      <c r="L358" s="1" t="s">
        <v>62</v>
      </c>
      <c r="M358" s="2">
        <v>45155</v>
      </c>
      <c r="N358" s="2" t="s">
        <v>25</v>
      </c>
      <c r="O358" s="2" t="s">
        <v>25</v>
      </c>
      <c r="P358" s="2" t="s">
        <v>25</v>
      </c>
      <c r="Q358" s="1" t="s">
        <v>26</v>
      </c>
      <c r="R358" s="7">
        <v>136351.46</v>
      </c>
      <c r="S358" s="7">
        <v>9739.39</v>
      </c>
      <c r="T358" s="7">
        <v>3366.99</v>
      </c>
      <c r="U358" s="7">
        <v>2162.85</v>
      </c>
      <c r="V358" s="7">
        <v>4209.55</v>
      </c>
      <c r="W358" s="10">
        <v>258.80599999999998</v>
      </c>
      <c r="X358" s="10">
        <v>152.2646</v>
      </c>
    </row>
    <row r="359" spans="1:24" x14ac:dyDescent="0.25">
      <c r="A359" t="s">
        <v>1372</v>
      </c>
      <c r="B359" t="s">
        <v>1373</v>
      </c>
      <c r="C359" s="1" t="s">
        <v>1374</v>
      </c>
      <c r="D359" s="1" t="s">
        <v>1646</v>
      </c>
      <c r="E359" s="1" t="s">
        <v>1375</v>
      </c>
      <c r="F359" s="1" t="s">
        <v>1696</v>
      </c>
      <c r="G359" s="1" t="s">
        <v>1585</v>
      </c>
      <c r="H359" s="1" t="s">
        <v>779</v>
      </c>
      <c r="I359" s="1" t="s">
        <v>22</v>
      </c>
      <c r="J359" s="1" t="s">
        <v>32</v>
      </c>
      <c r="K359" s="1" t="s">
        <v>33</v>
      </c>
      <c r="L359" s="1" t="s">
        <v>32</v>
      </c>
      <c r="M359" s="2">
        <v>45155</v>
      </c>
      <c r="N359" s="2" t="s">
        <v>25</v>
      </c>
      <c r="O359" s="2" t="s">
        <v>25</v>
      </c>
      <c r="P359" s="2" t="s">
        <v>25</v>
      </c>
      <c r="Q359" s="1" t="s">
        <v>26</v>
      </c>
      <c r="R359" s="7">
        <v>94946.32</v>
      </c>
      <c r="S359" s="7">
        <v>6781.88</v>
      </c>
      <c r="T359" s="7">
        <v>3366.99</v>
      </c>
      <c r="U359" s="7">
        <v>2162.85</v>
      </c>
      <c r="V359" s="7">
        <v>1252.04</v>
      </c>
      <c r="W359" s="10">
        <v>102.0896</v>
      </c>
      <c r="X359" s="10">
        <v>194.3613</v>
      </c>
    </row>
    <row r="360" spans="1:24" x14ac:dyDescent="0.25">
      <c r="A360" t="s">
        <v>52</v>
      </c>
      <c r="B360" t="s">
        <v>1376</v>
      </c>
      <c r="C360" s="1" t="s">
        <v>1377</v>
      </c>
      <c r="D360" s="1" t="s">
        <v>1647</v>
      </c>
      <c r="E360" s="1" t="s">
        <v>1378</v>
      </c>
      <c r="F360" s="1" t="s">
        <v>1696</v>
      </c>
      <c r="G360" s="1" t="s">
        <v>1585</v>
      </c>
      <c r="H360" s="1" t="s">
        <v>40</v>
      </c>
      <c r="I360" s="1" t="s">
        <v>22</v>
      </c>
      <c r="J360" s="1" t="s">
        <v>32</v>
      </c>
      <c r="K360" s="1" t="s">
        <v>33</v>
      </c>
      <c r="L360" s="1" t="s">
        <v>32</v>
      </c>
      <c r="M360" s="2">
        <v>45464</v>
      </c>
      <c r="N360" s="2" t="s">
        <v>25</v>
      </c>
      <c r="O360" s="1" t="s">
        <v>770</v>
      </c>
      <c r="P360" s="2" t="s">
        <v>25</v>
      </c>
      <c r="Q360" s="1" t="s">
        <v>26</v>
      </c>
      <c r="R360" s="7">
        <v>73277.119999999995</v>
      </c>
      <c r="S360" s="7">
        <v>5234.08</v>
      </c>
      <c r="T360" s="7">
        <v>3366.99</v>
      </c>
      <c r="U360" s="7">
        <v>1032.3800000000001</v>
      </c>
      <c r="V360" s="7">
        <v>834.71</v>
      </c>
      <c r="W360" s="10">
        <v>41.194000000000003</v>
      </c>
      <c r="X360" s="10">
        <v>99.419799999999995</v>
      </c>
    </row>
    <row r="361" spans="1:24" x14ac:dyDescent="0.25">
      <c r="C361" s="1" t="s">
        <v>1687</v>
      </c>
      <c r="D361" s="1" t="s">
        <v>1647</v>
      </c>
      <c r="E361" s="1" t="s">
        <v>1632</v>
      </c>
      <c r="F361" s="1" t="s">
        <v>1698</v>
      </c>
      <c r="G361" s="1" t="s">
        <v>1654</v>
      </c>
      <c r="H361" s="1" t="s">
        <v>1692</v>
      </c>
      <c r="I361" s="1" t="s">
        <v>22</v>
      </c>
      <c r="J361" s="1" t="s">
        <v>1662</v>
      </c>
      <c r="K361" s="1" t="s">
        <v>1662</v>
      </c>
      <c r="L361" s="1" t="s">
        <v>1693</v>
      </c>
      <c r="M361" s="2">
        <v>45155</v>
      </c>
      <c r="N361" s="2" t="s">
        <v>25</v>
      </c>
      <c r="O361" s="2" t="s">
        <v>25</v>
      </c>
      <c r="P361" s="2" t="s">
        <v>25</v>
      </c>
      <c r="Q361" s="1" t="s">
        <v>26</v>
      </c>
      <c r="R361" s="7">
        <v>84650.52</v>
      </c>
      <c r="S361" s="7">
        <v>7054.21</v>
      </c>
      <c r="T361" s="7">
        <v>7054.21</v>
      </c>
      <c r="U361" s="7">
        <v>0</v>
      </c>
      <c r="V361" s="7">
        <v>0</v>
      </c>
      <c r="W361" s="10">
        <v>309.85070000000002</v>
      </c>
      <c r="X361" s="10">
        <v>248.9975</v>
      </c>
    </row>
    <row r="362" spans="1:24" x14ac:dyDescent="0.25">
      <c r="A362" t="s">
        <v>86</v>
      </c>
      <c r="B362" t="s">
        <v>1379</v>
      </c>
      <c r="C362" s="1" t="s">
        <v>1380</v>
      </c>
      <c r="D362" s="1" t="s">
        <v>1646</v>
      </c>
      <c r="E362" s="1" t="s">
        <v>1381</v>
      </c>
      <c r="F362" s="1" t="s">
        <v>1696</v>
      </c>
      <c r="G362" s="1" t="s">
        <v>1585</v>
      </c>
      <c r="H362" s="1" t="s">
        <v>179</v>
      </c>
      <c r="I362" s="1" t="s">
        <v>22</v>
      </c>
      <c r="J362" s="1" t="s">
        <v>32</v>
      </c>
      <c r="K362" s="1" t="s">
        <v>33</v>
      </c>
      <c r="L362" s="1" t="s">
        <v>32</v>
      </c>
      <c r="M362" s="2">
        <v>45155</v>
      </c>
      <c r="N362" s="2">
        <v>45258</v>
      </c>
      <c r="O362" s="2" t="s">
        <v>25</v>
      </c>
      <c r="P362" s="1" t="s">
        <v>849</v>
      </c>
      <c r="Q362" s="1" t="s">
        <v>35</v>
      </c>
      <c r="R362" s="7">
        <v>134307.54999999999</v>
      </c>
      <c r="S362" s="7">
        <v>9593.4</v>
      </c>
      <c r="T362" s="7">
        <v>3366.99</v>
      </c>
      <c r="U362" s="7">
        <v>0</v>
      </c>
      <c r="V362" s="7">
        <v>0</v>
      </c>
      <c r="W362" s="10">
        <v>68.059700000000007</v>
      </c>
      <c r="X362" s="10">
        <v>68.071200000000005</v>
      </c>
    </row>
    <row r="363" spans="1:24" x14ac:dyDescent="0.25">
      <c r="A363" t="s">
        <v>1382</v>
      </c>
      <c r="B363" t="s">
        <v>1383</v>
      </c>
      <c r="C363" s="1" t="s">
        <v>1384</v>
      </c>
      <c r="D363" s="1" t="s">
        <v>1646</v>
      </c>
      <c r="E363" s="1" t="s">
        <v>1385</v>
      </c>
      <c r="F363" s="1" t="s">
        <v>1696</v>
      </c>
      <c r="G363" s="1" t="s">
        <v>1585</v>
      </c>
      <c r="H363" s="1" t="s">
        <v>122</v>
      </c>
      <c r="I363" s="1" t="s">
        <v>22</v>
      </c>
      <c r="J363" s="1" t="s">
        <v>123</v>
      </c>
      <c r="K363" s="1" t="s">
        <v>149</v>
      </c>
      <c r="L363" s="1" t="s">
        <v>123</v>
      </c>
      <c r="M363" s="2">
        <v>45155</v>
      </c>
      <c r="N363" s="2" t="s">
        <v>25</v>
      </c>
      <c r="O363" s="2" t="s">
        <v>25</v>
      </c>
      <c r="P363" s="2" t="s">
        <v>25</v>
      </c>
      <c r="Q363" s="1" t="s">
        <v>26</v>
      </c>
      <c r="R363" s="7">
        <v>129905.02</v>
      </c>
      <c r="S363" s="7">
        <v>9278.93</v>
      </c>
      <c r="T363" s="7">
        <v>3366.99</v>
      </c>
      <c r="U363" s="7">
        <v>2162.85</v>
      </c>
      <c r="V363" s="7">
        <v>3749.09</v>
      </c>
      <c r="W363" s="10">
        <v>286.56720000000001</v>
      </c>
      <c r="X363" s="10">
        <v>107.48090000000001</v>
      </c>
    </row>
    <row r="364" spans="1:24" x14ac:dyDescent="0.25">
      <c r="A364" t="s">
        <v>341</v>
      </c>
      <c r="B364" t="s">
        <v>1386</v>
      </c>
      <c r="C364" s="1" t="s">
        <v>1387</v>
      </c>
      <c r="D364" s="1" t="s">
        <v>1647</v>
      </c>
      <c r="E364" s="1" t="s">
        <v>1388</v>
      </c>
      <c r="F364" s="1" t="s">
        <v>1696</v>
      </c>
      <c r="G364" s="1" t="s">
        <v>1585</v>
      </c>
      <c r="H364" s="1" t="s">
        <v>189</v>
      </c>
      <c r="I364" s="1" t="s">
        <v>22</v>
      </c>
      <c r="J364" s="1" t="s">
        <v>32</v>
      </c>
      <c r="K364" s="1" t="s">
        <v>33</v>
      </c>
      <c r="L364" s="1" t="s">
        <v>32</v>
      </c>
      <c r="M364" s="2">
        <v>45155</v>
      </c>
      <c r="N364" s="2" t="s">
        <v>25</v>
      </c>
      <c r="O364" s="2" t="s">
        <v>25</v>
      </c>
      <c r="P364" s="2" t="s">
        <v>25</v>
      </c>
      <c r="Q364" s="1" t="s">
        <v>26</v>
      </c>
      <c r="R364" s="7">
        <v>94946.32</v>
      </c>
      <c r="S364" s="7">
        <v>6781.88</v>
      </c>
      <c r="T364" s="7">
        <v>3366.99</v>
      </c>
      <c r="U364" s="7">
        <v>2162.85</v>
      </c>
      <c r="V364" s="7">
        <v>1252.04</v>
      </c>
      <c r="W364" s="10">
        <v>86.865700000000004</v>
      </c>
      <c r="X364" s="10">
        <v>163.0127</v>
      </c>
    </row>
    <row r="365" spans="1:24" x14ac:dyDescent="0.25">
      <c r="A365" t="s">
        <v>540</v>
      </c>
      <c r="B365" t="s">
        <v>1389</v>
      </c>
      <c r="C365" s="1" t="s">
        <v>1390</v>
      </c>
      <c r="D365" s="1" t="s">
        <v>1646</v>
      </c>
      <c r="E365" s="1" t="s">
        <v>1391</v>
      </c>
      <c r="F365" s="1" t="s">
        <v>1696</v>
      </c>
      <c r="G365" s="1" t="s">
        <v>1585</v>
      </c>
      <c r="H365" s="1" t="s">
        <v>213</v>
      </c>
      <c r="I365" s="1" t="s">
        <v>22</v>
      </c>
      <c r="J365" s="1" t="s">
        <v>41</v>
      </c>
      <c r="K365" s="1" t="s">
        <v>42</v>
      </c>
      <c r="L365" s="1" t="s">
        <v>41</v>
      </c>
      <c r="M365" s="2">
        <v>45155</v>
      </c>
      <c r="N365" s="2" t="s">
        <v>25</v>
      </c>
      <c r="O365" s="2" t="s">
        <v>25</v>
      </c>
      <c r="P365" s="2" t="s">
        <v>25</v>
      </c>
      <c r="Q365" s="1" t="s">
        <v>26</v>
      </c>
      <c r="R365" s="7">
        <v>94946.32</v>
      </c>
      <c r="S365" s="7">
        <v>6781.88</v>
      </c>
      <c r="T365" s="7">
        <v>3366.99</v>
      </c>
      <c r="U365" s="7">
        <v>2162.85</v>
      </c>
      <c r="V365" s="7">
        <v>1252.04</v>
      </c>
      <c r="W365" s="10">
        <v>224.77610000000001</v>
      </c>
      <c r="X365" s="10">
        <v>51.053400000000003</v>
      </c>
    </row>
    <row r="366" spans="1:24" x14ac:dyDescent="0.25">
      <c r="A366" t="s">
        <v>377</v>
      </c>
      <c r="B366" t="s">
        <v>1392</v>
      </c>
      <c r="C366" s="1" t="s">
        <v>1393</v>
      </c>
      <c r="D366" s="1" t="s">
        <v>1647</v>
      </c>
      <c r="E366" s="1" t="s">
        <v>1394</v>
      </c>
      <c r="F366" s="1" t="s">
        <v>1696</v>
      </c>
      <c r="G366" s="1" t="s">
        <v>1585</v>
      </c>
      <c r="H366" s="1" t="s">
        <v>67</v>
      </c>
      <c r="I366" s="1" t="s">
        <v>22</v>
      </c>
      <c r="J366" s="1" t="s">
        <v>32</v>
      </c>
      <c r="K366" s="1" t="s">
        <v>33</v>
      </c>
      <c r="L366" s="1" t="s">
        <v>32</v>
      </c>
      <c r="M366" s="2">
        <v>45155</v>
      </c>
      <c r="N366" s="2">
        <v>45288</v>
      </c>
      <c r="O366" s="2" t="s">
        <v>25</v>
      </c>
      <c r="P366" s="1" t="s">
        <v>1101</v>
      </c>
      <c r="Q366" s="1" t="s">
        <v>35</v>
      </c>
      <c r="R366" s="7">
        <f>79415.16+28257.74</f>
        <v>107672.90000000001</v>
      </c>
      <c r="S366" s="7">
        <v>6617.93</v>
      </c>
      <c r="T366" s="7">
        <v>3366.99</v>
      </c>
      <c r="U366" s="7">
        <v>2018.41</v>
      </c>
      <c r="V366" s="7">
        <v>0</v>
      </c>
      <c r="W366" s="10">
        <v>29.552199999999999</v>
      </c>
      <c r="X366" s="10">
        <v>323.33839999999998</v>
      </c>
    </row>
    <row r="367" spans="1:24" x14ac:dyDescent="0.25">
      <c r="A367" t="s">
        <v>1395</v>
      </c>
      <c r="B367" t="s">
        <v>1396</v>
      </c>
      <c r="C367" s="1" t="s">
        <v>1397</v>
      </c>
      <c r="D367" s="1" t="s">
        <v>1646</v>
      </c>
      <c r="E367" s="1" t="s">
        <v>1398</v>
      </c>
      <c r="F367" s="1" t="s">
        <v>1696</v>
      </c>
      <c r="G367" s="1" t="s">
        <v>1585</v>
      </c>
      <c r="H367" s="1" t="s">
        <v>416</v>
      </c>
      <c r="I367" s="1" t="s">
        <v>22</v>
      </c>
      <c r="J367" s="1" t="s">
        <v>23</v>
      </c>
      <c r="K367" s="1" t="s">
        <v>24</v>
      </c>
      <c r="L367" s="1" t="s">
        <v>23</v>
      </c>
      <c r="M367" s="2">
        <v>45155</v>
      </c>
      <c r="N367" s="2" t="s">
        <v>25</v>
      </c>
      <c r="O367" s="2" t="s">
        <v>25</v>
      </c>
      <c r="P367" s="2" t="s">
        <v>25</v>
      </c>
      <c r="Q367" s="1" t="s">
        <v>26</v>
      </c>
      <c r="R367" s="7">
        <v>94946.32</v>
      </c>
      <c r="S367" s="7">
        <v>6781.88</v>
      </c>
      <c r="T367" s="7">
        <v>3366.99</v>
      </c>
      <c r="U367" s="7">
        <v>2162.85</v>
      </c>
      <c r="V367" s="7">
        <v>1252.04</v>
      </c>
      <c r="W367" s="10">
        <v>474.62689999999998</v>
      </c>
      <c r="X367" s="10">
        <v>259.74549999999999</v>
      </c>
    </row>
    <row r="368" spans="1:24" x14ac:dyDescent="0.25">
      <c r="A368" t="s">
        <v>1399</v>
      </c>
      <c r="B368" t="s">
        <v>1400</v>
      </c>
      <c r="C368" s="1" t="s">
        <v>1401</v>
      </c>
      <c r="D368" s="1" t="s">
        <v>1646</v>
      </c>
      <c r="E368" s="1" t="s">
        <v>1402</v>
      </c>
      <c r="F368" s="1" t="s">
        <v>1696</v>
      </c>
      <c r="G368" s="1" t="s">
        <v>1585</v>
      </c>
      <c r="H368" s="1" t="s">
        <v>213</v>
      </c>
      <c r="I368" s="1" t="s">
        <v>22</v>
      </c>
      <c r="J368" s="1" t="s">
        <v>23</v>
      </c>
      <c r="K368" s="1" t="s">
        <v>24</v>
      </c>
      <c r="L368" s="1" t="s">
        <v>23</v>
      </c>
      <c r="M368" s="2">
        <v>45155</v>
      </c>
      <c r="N368" s="2" t="s">
        <v>25</v>
      </c>
      <c r="O368" s="2" t="s">
        <v>25</v>
      </c>
      <c r="P368" s="2" t="s">
        <v>25</v>
      </c>
      <c r="Q368" s="1" t="s">
        <v>26</v>
      </c>
      <c r="R368" s="7">
        <v>94946.32</v>
      </c>
      <c r="S368" s="7">
        <v>6781.88</v>
      </c>
      <c r="T368" s="7">
        <v>3366.99</v>
      </c>
      <c r="U368" s="7">
        <v>2162.85</v>
      </c>
      <c r="V368" s="7">
        <v>1252.04</v>
      </c>
      <c r="W368" s="10">
        <v>450.44779999999997</v>
      </c>
      <c r="X368" s="10">
        <v>181.8219</v>
      </c>
    </row>
    <row r="369" spans="1:24" x14ac:dyDescent="0.25">
      <c r="A369" t="s">
        <v>337</v>
      </c>
      <c r="B369" t="s">
        <v>1403</v>
      </c>
      <c r="C369" s="1" t="s">
        <v>1404</v>
      </c>
      <c r="D369" s="1" t="s">
        <v>1646</v>
      </c>
      <c r="E369" s="1" t="s">
        <v>1405</v>
      </c>
      <c r="F369" s="1" t="s">
        <v>1698</v>
      </c>
      <c r="G369" s="1" t="s">
        <v>1586</v>
      </c>
      <c r="H369" s="1" t="s">
        <v>40</v>
      </c>
      <c r="I369" s="1" t="s">
        <v>22</v>
      </c>
      <c r="J369" s="1" t="s">
        <v>32</v>
      </c>
      <c r="K369" s="1" t="s">
        <v>33</v>
      </c>
      <c r="L369" s="1" t="s">
        <v>32</v>
      </c>
      <c r="M369" s="2">
        <v>45155</v>
      </c>
      <c r="N369" s="2" t="s">
        <v>25</v>
      </c>
      <c r="O369" s="2" t="s">
        <v>25</v>
      </c>
      <c r="P369" s="2" t="s">
        <v>25</v>
      </c>
      <c r="Q369" s="1" t="s">
        <v>26</v>
      </c>
      <c r="R369" s="7">
        <v>110397.28</v>
      </c>
      <c r="S369" s="7">
        <v>7995.33</v>
      </c>
      <c r="T369" s="7">
        <v>3366.99</v>
      </c>
      <c r="U369" s="7">
        <v>1032.3800000000001</v>
      </c>
      <c r="V369" s="7">
        <v>0</v>
      </c>
      <c r="W369" s="10">
        <v>170.14930000000001</v>
      </c>
      <c r="X369" s="10">
        <v>271.38929999999999</v>
      </c>
    </row>
    <row r="370" spans="1:24" x14ac:dyDescent="0.25">
      <c r="A370" t="s">
        <v>96</v>
      </c>
      <c r="B370" t="s">
        <v>1406</v>
      </c>
      <c r="C370" s="1" t="s">
        <v>1407</v>
      </c>
      <c r="D370" s="1" t="s">
        <v>1646</v>
      </c>
      <c r="E370" s="1" t="s">
        <v>1408</v>
      </c>
      <c r="F370" s="1" t="s">
        <v>1696</v>
      </c>
      <c r="G370" s="1" t="s">
        <v>1585</v>
      </c>
      <c r="H370" s="1" t="s">
        <v>285</v>
      </c>
      <c r="I370" s="1" t="s">
        <v>22</v>
      </c>
      <c r="J370" s="1" t="s">
        <v>125</v>
      </c>
      <c r="K370" s="1" t="s">
        <v>245</v>
      </c>
      <c r="L370" s="1" t="s">
        <v>34</v>
      </c>
      <c r="M370" s="2">
        <v>45155</v>
      </c>
      <c r="N370" s="2" t="s">
        <v>25</v>
      </c>
      <c r="O370" s="2" t="s">
        <v>25</v>
      </c>
      <c r="P370" s="2" t="s">
        <v>25</v>
      </c>
      <c r="Q370" s="1" t="s">
        <v>26</v>
      </c>
      <c r="R370" s="7">
        <v>94946.32</v>
      </c>
      <c r="S370" s="7">
        <v>6781.88</v>
      </c>
      <c r="T370" s="7">
        <v>3366.99</v>
      </c>
      <c r="U370" s="7">
        <v>2162.85</v>
      </c>
      <c r="V370" s="7">
        <v>1252.04</v>
      </c>
      <c r="W370" s="10">
        <v>249.85069999999999</v>
      </c>
      <c r="X370" s="10">
        <v>74.340999999999994</v>
      </c>
    </row>
    <row r="371" spans="1:24" x14ac:dyDescent="0.25">
      <c r="A371" t="s">
        <v>644</v>
      </c>
      <c r="B371" t="s">
        <v>1409</v>
      </c>
      <c r="C371" s="1" t="s">
        <v>1410</v>
      </c>
      <c r="D371" s="1" t="s">
        <v>1647</v>
      </c>
      <c r="E371" s="1" t="s">
        <v>1411</v>
      </c>
      <c r="F371" s="1" t="s">
        <v>1696</v>
      </c>
      <c r="G371" s="1" t="s">
        <v>1585</v>
      </c>
      <c r="H371" s="1" t="s">
        <v>40</v>
      </c>
      <c r="I371" s="1" t="s">
        <v>22</v>
      </c>
      <c r="J371" s="1" t="s">
        <v>23</v>
      </c>
      <c r="K371" s="1" t="s">
        <v>24</v>
      </c>
      <c r="L371" s="1" t="s">
        <v>23</v>
      </c>
      <c r="M371" s="2">
        <v>45155</v>
      </c>
      <c r="N371" s="2" t="s">
        <v>25</v>
      </c>
      <c r="O371" s="2" t="s">
        <v>25</v>
      </c>
      <c r="P371" s="2" t="s">
        <v>25</v>
      </c>
      <c r="Q371" s="1" t="s">
        <v>26</v>
      </c>
      <c r="R371" s="7">
        <v>79119.740000000005</v>
      </c>
      <c r="S371" s="7">
        <v>5651.41</v>
      </c>
      <c r="T371" s="7">
        <v>3366.99</v>
      </c>
      <c r="U371" s="7">
        <v>1032.3800000000001</v>
      </c>
      <c r="V371" s="7">
        <v>1252.04</v>
      </c>
      <c r="W371" s="10">
        <v>381.49250000000001</v>
      </c>
      <c r="X371" s="10">
        <v>259.74549999999999</v>
      </c>
    </row>
    <row r="372" spans="1:24" x14ac:dyDescent="0.25">
      <c r="A372" t="s">
        <v>596</v>
      </c>
      <c r="B372" t="s">
        <v>1412</v>
      </c>
      <c r="C372" s="1" t="s">
        <v>1413</v>
      </c>
      <c r="D372" s="1" t="s">
        <v>1647</v>
      </c>
      <c r="E372" s="1" t="s">
        <v>1414</v>
      </c>
      <c r="F372" s="1" t="s">
        <v>1696</v>
      </c>
      <c r="G372" s="1" t="s">
        <v>1585</v>
      </c>
      <c r="H372" s="1" t="s">
        <v>462</v>
      </c>
      <c r="I372" s="1" t="s">
        <v>22</v>
      </c>
      <c r="J372" s="1" t="s">
        <v>23</v>
      </c>
      <c r="K372" s="1" t="s">
        <v>24</v>
      </c>
      <c r="L372" s="1" t="s">
        <v>23</v>
      </c>
      <c r="M372" s="2">
        <v>45155</v>
      </c>
      <c r="N372" s="2" t="s">
        <v>25</v>
      </c>
      <c r="O372" s="2" t="s">
        <v>25</v>
      </c>
      <c r="P372" s="2" t="s">
        <v>25</v>
      </c>
      <c r="Q372" s="1" t="s">
        <v>26</v>
      </c>
      <c r="R372" s="7">
        <v>94946.32</v>
      </c>
      <c r="S372" s="7">
        <v>6781.88</v>
      </c>
      <c r="T372" s="7">
        <v>3366.99</v>
      </c>
      <c r="U372" s="7">
        <v>2162.85</v>
      </c>
      <c r="V372" s="7">
        <v>1252.04</v>
      </c>
      <c r="W372" s="10">
        <v>397.61189999999999</v>
      </c>
      <c r="X372" s="10">
        <v>174.65649999999999</v>
      </c>
    </row>
    <row r="373" spans="1:24" x14ac:dyDescent="0.25">
      <c r="A373" t="s">
        <v>1415</v>
      </c>
      <c r="B373" t="s">
        <v>1416</v>
      </c>
      <c r="C373" s="1" t="s">
        <v>1417</v>
      </c>
      <c r="D373" s="1" t="s">
        <v>1646</v>
      </c>
      <c r="E373" s="1" t="s">
        <v>1418</v>
      </c>
      <c r="F373" s="1" t="s">
        <v>1696</v>
      </c>
      <c r="G373" s="1" t="s">
        <v>1585</v>
      </c>
      <c r="H373" s="1" t="s">
        <v>381</v>
      </c>
      <c r="I373" s="1" t="s">
        <v>22</v>
      </c>
      <c r="J373" s="1" t="s">
        <v>32</v>
      </c>
      <c r="K373" s="1" t="s">
        <v>33</v>
      </c>
      <c r="L373" s="1" t="s">
        <v>32</v>
      </c>
      <c r="M373" s="2">
        <v>45155</v>
      </c>
      <c r="N373" s="2" t="s">
        <v>25</v>
      </c>
      <c r="O373" s="2" t="s">
        <v>25</v>
      </c>
      <c r="P373" s="2" t="s">
        <v>25</v>
      </c>
      <c r="Q373" s="1" t="s">
        <v>26</v>
      </c>
      <c r="R373" s="7">
        <v>94946.32</v>
      </c>
      <c r="S373" s="7">
        <v>6781.88</v>
      </c>
      <c r="T373" s="7">
        <v>3366.99</v>
      </c>
      <c r="U373" s="7">
        <v>2162.85</v>
      </c>
      <c r="V373" s="7">
        <v>1252.04</v>
      </c>
      <c r="W373" s="10">
        <v>70.746300000000005</v>
      </c>
      <c r="X373" s="10">
        <v>137.93379999999999</v>
      </c>
    </row>
    <row r="374" spans="1:24" x14ac:dyDescent="0.25">
      <c r="A374" t="s">
        <v>1419</v>
      </c>
      <c r="B374" t="s">
        <v>1420</v>
      </c>
      <c r="C374" s="1" t="s">
        <v>1421</v>
      </c>
      <c r="D374" s="1" t="s">
        <v>1647</v>
      </c>
      <c r="E374" s="1" t="s">
        <v>1422</v>
      </c>
      <c r="F374" s="1" t="s">
        <v>1696</v>
      </c>
      <c r="G374" s="1" t="s">
        <v>1585</v>
      </c>
      <c r="H374" s="1" t="s">
        <v>416</v>
      </c>
      <c r="I374" s="1" t="s">
        <v>22</v>
      </c>
      <c r="J374" s="1" t="s">
        <v>32</v>
      </c>
      <c r="K374" s="1" t="s">
        <v>33</v>
      </c>
      <c r="L374" s="1" t="s">
        <v>32</v>
      </c>
      <c r="M374" s="2">
        <v>45155</v>
      </c>
      <c r="N374" s="2" t="s">
        <v>25</v>
      </c>
      <c r="O374" s="2" t="s">
        <v>25</v>
      </c>
      <c r="P374" s="2" t="s">
        <v>25</v>
      </c>
      <c r="Q374" s="1" t="s">
        <v>26</v>
      </c>
      <c r="R374" s="7">
        <v>89103.7</v>
      </c>
      <c r="S374" s="7">
        <v>6364.55</v>
      </c>
      <c r="T374" s="7">
        <v>3366.99</v>
      </c>
      <c r="U374" s="7">
        <v>2162.85</v>
      </c>
      <c r="V374" s="7">
        <v>834.71</v>
      </c>
      <c r="W374" s="10">
        <v>29.552199999999999</v>
      </c>
      <c r="X374" s="10">
        <v>334.0865</v>
      </c>
    </row>
    <row r="375" spans="1:24" x14ac:dyDescent="0.25">
      <c r="A375" t="s">
        <v>1423</v>
      </c>
      <c r="B375" t="s">
        <v>1424</v>
      </c>
      <c r="C375" s="1" t="s">
        <v>1425</v>
      </c>
      <c r="D375" s="1" t="s">
        <v>1647</v>
      </c>
      <c r="E375" s="1" t="s">
        <v>1426</v>
      </c>
      <c r="F375" s="1" t="s">
        <v>1696</v>
      </c>
      <c r="G375" s="1" t="s">
        <v>1585</v>
      </c>
      <c r="H375" s="1" t="s">
        <v>416</v>
      </c>
      <c r="I375" s="1" t="s">
        <v>22</v>
      </c>
      <c r="J375" s="1" t="s">
        <v>125</v>
      </c>
      <c r="K375" s="1" t="s">
        <v>245</v>
      </c>
      <c r="L375" s="1" t="s">
        <v>34</v>
      </c>
      <c r="M375" s="2">
        <v>45155</v>
      </c>
      <c r="N375" s="2" t="s">
        <v>25</v>
      </c>
      <c r="O375" s="2" t="s">
        <v>25</v>
      </c>
      <c r="P375" s="2" t="s">
        <v>25</v>
      </c>
      <c r="Q375" s="1" t="s">
        <v>26</v>
      </c>
      <c r="R375" s="7">
        <v>94946.32</v>
      </c>
      <c r="S375" s="7">
        <v>6781.88</v>
      </c>
      <c r="T375" s="7">
        <v>3366.99</v>
      </c>
      <c r="U375" s="7">
        <v>2162.85</v>
      </c>
      <c r="V375" s="7">
        <v>1252.04</v>
      </c>
      <c r="W375" s="10">
        <v>274.92540000000002</v>
      </c>
      <c r="X375" s="10">
        <v>76.132300000000001</v>
      </c>
    </row>
    <row r="376" spans="1:24" x14ac:dyDescent="0.25">
      <c r="A376" t="s">
        <v>1427</v>
      </c>
      <c r="B376" t="s">
        <v>1428</v>
      </c>
      <c r="C376" s="1" t="s">
        <v>1429</v>
      </c>
      <c r="D376" s="1" t="s">
        <v>1646</v>
      </c>
      <c r="E376" s="1" t="s">
        <v>1430</v>
      </c>
      <c r="F376" s="1" t="s">
        <v>1696</v>
      </c>
      <c r="G376" s="1" t="s">
        <v>1585</v>
      </c>
      <c r="H376" s="1" t="s">
        <v>40</v>
      </c>
      <c r="I376" s="1" t="s">
        <v>22</v>
      </c>
      <c r="J376" s="1" t="s">
        <v>125</v>
      </c>
      <c r="K376" s="1" t="s">
        <v>124</v>
      </c>
      <c r="L376" s="1" t="s">
        <v>125</v>
      </c>
      <c r="M376" s="2">
        <v>45155</v>
      </c>
      <c r="N376" s="2" t="s">
        <v>25</v>
      </c>
      <c r="O376" s="2" t="s">
        <v>25</v>
      </c>
      <c r="P376" s="2" t="s">
        <v>25</v>
      </c>
      <c r="Q376" s="1" t="s">
        <v>26</v>
      </c>
      <c r="R376" s="7">
        <v>94946.32</v>
      </c>
      <c r="S376" s="7">
        <v>6781.88</v>
      </c>
      <c r="T376" s="7">
        <v>3366.99</v>
      </c>
      <c r="U376" s="7">
        <v>2162.85</v>
      </c>
      <c r="V376" s="7">
        <v>1252.04</v>
      </c>
      <c r="W376" s="10">
        <v>245.37309999999999</v>
      </c>
      <c r="X376" s="10">
        <v>152.2646</v>
      </c>
    </row>
    <row r="377" spans="1:24" x14ac:dyDescent="0.25">
      <c r="A377" t="s">
        <v>397</v>
      </c>
      <c r="B377" t="s">
        <v>1431</v>
      </c>
      <c r="C377" s="1" t="s">
        <v>1432</v>
      </c>
      <c r="D377" s="1" t="s">
        <v>1646</v>
      </c>
      <c r="E377" s="1" t="s">
        <v>1433</v>
      </c>
      <c r="F377" s="1" t="s">
        <v>1696</v>
      </c>
      <c r="G377" s="1" t="s">
        <v>1585</v>
      </c>
      <c r="H377" s="1" t="s">
        <v>40</v>
      </c>
      <c r="I377" s="1" t="s">
        <v>22</v>
      </c>
      <c r="J377" s="1" t="s">
        <v>125</v>
      </c>
      <c r="K377" s="1" t="s">
        <v>124</v>
      </c>
      <c r="L377" s="1" t="s">
        <v>125</v>
      </c>
      <c r="M377" s="2">
        <v>45155</v>
      </c>
      <c r="N377" s="2" t="s">
        <v>25</v>
      </c>
      <c r="O377" s="2" t="s">
        <v>25</v>
      </c>
      <c r="P377" s="2" t="s">
        <v>25</v>
      </c>
      <c r="Q377" s="1" t="s">
        <v>26</v>
      </c>
      <c r="R377" s="7">
        <v>85566.18</v>
      </c>
      <c r="S377" s="7">
        <v>6111.87</v>
      </c>
      <c r="T377" s="7">
        <v>3366.99</v>
      </c>
      <c r="U377" s="7">
        <v>1032.3800000000001</v>
      </c>
      <c r="V377" s="7">
        <v>1712.5</v>
      </c>
      <c r="W377" s="10">
        <v>188.05969999999999</v>
      </c>
      <c r="X377" s="10">
        <v>136.14250000000001</v>
      </c>
    </row>
    <row r="378" spans="1:24" x14ac:dyDescent="0.25">
      <c r="A378" t="s">
        <v>1434</v>
      </c>
      <c r="B378" t="s">
        <v>1435</v>
      </c>
      <c r="C378" s="1" t="s">
        <v>1436</v>
      </c>
      <c r="D378" s="1" t="s">
        <v>1647</v>
      </c>
      <c r="E378" s="1" t="s">
        <v>1437</v>
      </c>
      <c r="F378" s="1" t="s">
        <v>1696</v>
      </c>
      <c r="G378" s="1" t="s">
        <v>1585</v>
      </c>
      <c r="H378" s="1" t="s">
        <v>324</v>
      </c>
      <c r="I378" s="1" t="s">
        <v>22</v>
      </c>
      <c r="J378" s="1" t="s">
        <v>32</v>
      </c>
      <c r="K378" s="1" t="s">
        <v>33</v>
      </c>
      <c r="L378" s="1" t="s">
        <v>32</v>
      </c>
      <c r="M378" s="2">
        <v>45155</v>
      </c>
      <c r="N378" s="2" t="s">
        <v>25</v>
      </c>
      <c r="O378" s="2" t="s">
        <v>25</v>
      </c>
      <c r="P378" s="2" t="s">
        <v>25</v>
      </c>
      <c r="Q378" s="1" t="s">
        <v>26</v>
      </c>
      <c r="R378" s="7">
        <v>94946.32</v>
      </c>
      <c r="S378" s="7">
        <v>6781.88</v>
      </c>
      <c r="T378" s="7">
        <v>3366.99</v>
      </c>
      <c r="U378" s="7">
        <v>2162.85</v>
      </c>
      <c r="V378" s="7">
        <v>1252.04</v>
      </c>
      <c r="W378" s="10">
        <v>70.746300000000005</v>
      </c>
      <c r="X378" s="10">
        <v>96.732799999999997</v>
      </c>
    </row>
    <row r="379" spans="1:24" x14ac:dyDescent="0.25">
      <c r="A379" t="s">
        <v>1438</v>
      </c>
      <c r="B379" t="s">
        <v>1439</v>
      </c>
      <c r="C379" s="1" t="s">
        <v>1440</v>
      </c>
      <c r="D379" s="1" t="s">
        <v>1646</v>
      </c>
      <c r="E379" s="1" t="s">
        <v>1441</v>
      </c>
      <c r="F379" s="1" t="s">
        <v>1696</v>
      </c>
      <c r="G379" s="1" t="s">
        <v>1585</v>
      </c>
      <c r="H379" s="1" t="s">
        <v>31</v>
      </c>
      <c r="I379" s="1" t="s">
        <v>22</v>
      </c>
      <c r="J379" s="1" t="s">
        <v>32</v>
      </c>
      <c r="K379" s="1" t="s">
        <v>33</v>
      </c>
      <c r="L379" s="1" t="s">
        <v>32</v>
      </c>
      <c r="M379" s="2">
        <v>45155</v>
      </c>
      <c r="N379" s="2" t="s">
        <v>25</v>
      </c>
      <c r="O379" s="2" t="s">
        <v>25</v>
      </c>
      <c r="P379" s="2" t="s">
        <v>25</v>
      </c>
      <c r="Q379" s="1" t="s">
        <v>26</v>
      </c>
      <c r="R379" s="7">
        <v>94946.32</v>
      </c>
      <c r="S379" s="7">
        <v>6781.88</v>
      </c>
      <c r="T379" s="7">
        <v>3366.99</v>
      </c>
      <c r="U379" s="7">
        <v>2162.85</v>
      </c>
      <c r="V379" s="7">
        <v>1252.04</v>
      </c>
      <c r="W379" s="10">
        <v>44.7761</v>
      </c>
      <c r="X379" s="10">
        <v>137.93379999999999</v>
      </c>
    </row>
    <row r="380" spans="1:24" x14ac:dyDescent="0.25">
      <c r="A380" t="s">
        <v>1096</v>
      </c>
      <c r="B380" t="s">
        <v>1442</v>
      </c>
      <c r="C380" s="1" t="s">
        <v>1443</v>
      </c>
      <c r="D380" s="1" t="s">
        <v>1646</v>
      </c>
      <c r="E380" s="1" t="s">
        <v>1444</v>
      </c>
      <c r="F380" s="1" t="s">
        <v>1696</v>
      </c>
      <c r="G380" s="1" t="s">
        <v>1585</v>
      </c>
      <c r="H380" s="1" t="s">
        <v>189</v>
      </c>
      <c r="I380" s="1" t="s">
        <v>22</v>
      </c>
      <c r="J380" s="1" t="s">
        <v>23</v>
      </c>
      <c r="K380" s="1" t="s">
        <v>24</v>
      </c>
      <c r="L380" s="1" t="s">
        <v>23</v>
      </c>
      <c r="M380" s="2">
        <v>45155</v>
      </c>
      <c r="N380" s="2" t="s">
        <v>25</v>
      </c>
      <c r="O380" s="2" t="s">
        <v>25</v>
      </c>
      <c r="P380" s="2" t="s">
        <v>25</v>
      </c>
      <c r="Q380" s="1" t="s">
        <v>26</v>
      </c>
      <c r="R380" s="7">
        <v>94946.32</v>
      </c>
      <c r="S380" s="7">
        <v>6781.88</v>
      </c>
      <c r="T380" s="7">
        <v>3366.99</v>
      </c>
      <c r="U380" s="7">
        <v>2162.85</v>
      </c>
      <c r="V380" s="7">
        <v>1252.04</v>
      </c>
      <c r="W380" s="10">
        <v>384.17910000000001</v>
      </c>
      <c r="X380" s="10">
        <v>73.445300000000003</v>
      </c>
    </row>
    <row r="381" spans="1:24" x14ac:dyDescent="0.25">
      <c r="A381" t="s">
        <v>704</v>
      </c>
      <c r="B381" t="s">
        <v>1445</v>
      </c>
      <c r="C381" s="1" t="s">
        <v>1446</v>
      </c>
      <c r="D381" s="1" t="s">
        <v>1646</v>
      </c>
      <c r="E381" s="1" t="s">
        <v>1447</v>
      </c>
      <c r="F381" s="1" t="s">
        <v>1696</v>
      </c>
      <c r="G381" s="1" t="s">
        <v>1585</v>
      </c>
      <c r="H381" s="1" t="s">
        <v>244</v>
      </c>
      <c r="I381" s="1" t="s">
        <v>22</v>
      </c>
      <c r="J381" s="1" t="s">
        <v>23</v>
      </c>
      <c r="K381" s="1" t="s">
        <v>24</v>
      </c>
      <c r="L381" s="1" t="s">
        <v>23</v>
      </c>
      <c r="M381" s="2">
        <v>45155</v>
      </c>
      <c r="N381" s="2" t="s">
        <v>25</v>
      </c>
      <c r="O381" s="2" t="s">
        <v>25</v>
      </c>
      <c r="P381" s="2" t="s">
        <v>25</v>
      </c>
      <c r="Q381" s="1" t="s">
        <v>26</v>
      </c>
      <c r="R381" s="7">
        <v>94946.32</v>
      </c>
      <c r="S381" s="7">
        <v>6781.88</v>
      </c>
      <c r="T381" s="7">
        <v>3366.99</v>
      </c>
      <c r="U381" s="7">
        <v>2162.85</v>
      </c>
      <c r="V381" s="7">
        <v>1252.04</v>
      </c>
      <c r="W381" s="10">
        <v>348.35820000000001</v>
      </c>
      <c r="X381" s="10">
        <v>179.13489999999999</v>
      </c>
    </row>
    <row r="382" spans="1:24" x14ac:dyDescent="0.25">
      <c r="A382" t="s">
        <v>1448</v>
      </c>
      <c r="B382" t="s">
        <v>1449</v>
      </c>
      <c r="C382" s="1" t="s">
        <v>1450</v>
      </c>
      <c r="D382" s="1" t="s">
        <v>1646</v>
      </c>
      <c r="E382" s="1" t="s">
        <v>1451</v>
      </c>
      <c r="F382" s="1" t="s">
        <v>1696</v>
      </c>
      <c r="G382" s="1" t="s">
        <v>1585</v>
      </c>
      <c r="H382" s="1" t="s">
        <v>40</v>
      </c>
      <c r="I382" s="1" t="s">
        <v>22</v>
      </c>
      <c r="J382" s="1" t="s">
        <v>23</v>
      </c>
      <c r="K382" s="1" t="s">
        <v>24</v>
      </c>
      <c r="L382" s="1" t="s">
        <v>23</v>
      </c>
      <c r="M382" s="2">
        <v>45155</v>
      </c>
      <c r="N382" s="2" t="s">
        <v>25</v>
      </c>
      <c r="O382" s="2" t="s">
        <v>25</v>
      </c>
      <c r="P382" s="2" t="s">
        <v>25</v>
      </c>
      <c r="Q382" s="1" t="s">
        <v>26</v>
      </c>
      <c r="R382" s="7">
        <v>79119.740000000005</v>
      </c>
      <c r="S382" s="7">
        <v>5651.41</v>
      </c>
      <c r="T382" s="7">
        <v>3366.99</v>
      </c>
      <c r="U382" s="7">
        <v>1032.3800000000001</v>
      </c>
      <c r="V382" s="7">
        <v>1252.04</v>
      </c>
      <c r="W382" s="10">
        <v>358.209</v>
      </c>
      <c r="X382" s="10">
        <v>226.60560000000001</v>
      </c>
    </row>
    <row r="383" spans="1:24" x14ac:dyDescent="0.25">
      <c r="A383" t="s">
        <v>1137</v>
      </c>
      <c r="B383" t="s">
        <v>1452</v>
      </c>
      <c r="C383" s="1" t="s">
        <v>1453</v>
      </c>
      <c r="D383" s="1" t="s">
        <v>1646</v>
      </c>
      <c r="E383" s="1" t="s">
        <v>1454</v>
      </c>
      <c r="F383" s="1" t="s">
        <v>1696</v>
      </c>
      <c r="G383" s="1" t="s">
        <v>1585</v>
      </c>
      <c r="H383" s="1" t="s">
        <v>222</v>
      </c>
      <c r="I383" s="1" t="s">
        <v>22</v>
      </c>
      <c r="J383" s="1" t="s">
        <v>32</v>
      </c>
      <c r="K383" s="1" t="s">
        <v>33</v>
      </c>
      <c r="L383" s="1" t="s">
        <v>32</v>
      </c>
      <c r="M383" s="2">
        <v>45155</v>
      </c>
      <c r="N383" s="2" t="s">
        <v>25</v>
      </c>
      <c r="O383" s="2" t="s">
        <v>25</v>
      </c>
      <c r="P383" s="2" t="s">
        <v>25</v>
      </c>
      <c r="Q383" s="1" t="s">
        <v>26</v>
      </c>
      <c r="R383" s="7">
        <v>94946.32</v>
      </c>
      <c r="S383" s="7">
        <v>6781.88</v>
      </c>
      <c r="T383" s="7">
        <v>3366.99</v>
      </c>
      <c r="U383" s="7">
        <v>2162.85</v>
      </c>
      <c r="V383" s="7">
        <v>1252.04</v>
      </c>
      <c r="W383" s="10">
        <v>6.2686999999999999</v>
      </c>
      <c r="X383" s="10">
        <v>345.7303</v>
      </c>
    </row>
    <row r="384" spans="1:24" x14ac:dyDescent="0.25">
      <c r="A384" t="s">
        <v>589</v>
      </c>
      <c r="B384" t="s">
        <v>1455</v>
      </c>
      <c r="C384" s="1" t="s">
        <v>1456</v>
      </c>
      <c r="D384" s="1" t="s">
        <v>1646</v>
      </c>
      <c r="E384" s="1" t="s">
        <v>1457</v>
      </c>
      <c r="F384" s="1" t="s">
        <v>1696</v>
      </c>
      <c r="G384" s="1" t="s">
        <v>1585</v>
      </c>
      <c r="H384" s="1" t="s">
        <v>264</v>
      </c>
      <c r="I384" s="1" t="s">
        <v>22</v>
      </c>
      <c r="J384" s="1" t="s">
        <v>32</v>
      </c>
      <c r="K384" s="1" t="s">
        <v>33</v>
      </c>
      <c r="L384" s="1" t="s">
        <v>32</v>
      </c>
      <c r="M384" s="2">
        <v>45155</v>
      </c>
      <c r="N384" s="2" t="s">
        <v>25</v>
      </c>
      <c r="O384" s="2" t="s">
        <v>25</v>
      </c>
      <c r="P384" s="2" t="s">
        <v>25</v>
      </c>
      <c r="Q384" s="1" t="s">
        <v>26</v>
      </c>
      <c r="R384" s="7">
        <v>94946.32</v>
      </c>
      <c r="S384" s="7">
        <v>6781.88</v>
      </c>
      <c r="T384" s="7">
        <v>3366.99</v>
      </c>
      <c r="U384" s="7">
        <v>2162.85</v>
      </c>
      <c r="V384" s="7">
        <v>1252.04</v>
      </c>
      <c r="W384" s="10">
        <v>74.328400000000002</v>
      </c>
      <c r="X384" s="10">
        <v>216.75319999999999</v>
      </c>
    </row>
    <row r="385" spans="1:24" x14ac:dyDescent="0.25">
      <c r="A385" t="s">
        <v>1458</v>
      </c>
      <c r="B385" t="s">
        <v>1459</v>
      </c>
      <c r="C385" s="1" t="s">
        <v>1460</v>
      </c>
      <c r="D385" s="1" t="s">
        <v>1646</v>
      </c>
      <c r="E385" s="1" t="s">
        <v>1461</v>
      </c>
      <c r="F385" s="1" t="s">
        <v>1696</v>
      </c>
      <c r="G385" s="1" t="s">
        <v>1585</v>
      </c>
      <c r="H385" s="1" t="s">
        <v>90</v>
      </c>
      <c r="I385" s="1" t="s">
        <v>22</v>
      </c>
      <c r="J385" s="1" t="s">
        <v>32</v>
      </c>
      <c r="K385" s="1" t="s">
        <v>33</v>
      </c>
      <c r="L385" s="1" t="s">
        <v>32</v>
      </c>
      <c r="M385" s="2">
        <v>45155</v>
      </c>
      <c r="N385" s="2" t="s">
        <v>25</v>
      </c>
      <c r="O385" s="2" t="s">
        <v>25</v>
      </c>
      <c r="P385" s="2" t="s">
        <v>25</v>
      </c>
      <c r="Q385" s="1" t="s">
        <v>26</v>
      </c>
      <c r="R385" s="7">
        <v>101392.76</v>
      </c>
      <c r="S385" s="7">
        <v>7242.34</v>
      </c>
      <c r="T385" s="7">
        <v>3366.99</v>
      </c>
      <c r="U385" s="7">
        <v>2162.85</v>
      </c>
      <c r="V385" s="7">
        <v>1712.5</v>
      </c>
      <c r="W385" s="10">
        <v>121.791</v>
      </c>
      <c r="X385" s="10">
        <v>259.74549999999999</v>
      </c>
    </row>
    <row r="386" spans="1:24" x14ac:dyDescent="0.25">
      <c r="A386" t="s">
        <v>171</v>
      </c>
      <c r="B386" t="s">
        <v>1462</v>
      </c>
      <c r="C386" s="1" t="s">
        <v>1463</v>
      </c>
      <c r="D386" s="1" t="s">
        <v>1646</v>
      </c>
      <c r="E386" s="1" t="s">
        <v>1464</v>
      </c>
      <c r="F386" s="1" t="s">
        <v>1696</v>
      </c>
      <c r="G386" s="1" t="s">
        <v>1585</v>
      </c>
      <c r="H386" s="1" t="s">
        <v>179</v>
      </c>
      <c r="I386" s="1" t="s">
        <v>22</v>
      </c>
      <c r="J386" s="1" t="s">
        <v>125</v>
      </c>
      <c r="K386" s="1" t="s">
        <v>124</v>
      </c>
      <c r="L386" s="1" t="s">
        <v>125</v>
      </c>
      <c r="M386" s="2">
        <v>45155</v>
      </c>
      <c r="N386" s="2" t="s">
        <v>25</v>
      </c>
      <c r="O386" s="2" t="s">
        <v>25</v>
      </c>
      <c r="P386" s="2" t="s">
        <v>25</v>
      </c>
      <c r="Q386" s="1" t="s">
        <v>26</v>
      </c>
      <c r="R386" s="7">
        <v>94946.32</v>
      </c>
      <c r="S386" s="7">
        <v>6781.88</v>
      </c>
      <c r="T386" s="7">
        <v>3366.99</v>
      </c>
      <c r="U386" s="7">
        <v>2162.85</v>
      </c>
      <c r="V386" s="7">
        <v>1252.04</v>
      </c>
      <c r="W386" s="10">
        <v>214.9254</v>
      </c>
      <c r="X386" s="10">
        <v>76.132300000000001</v>
      </c>
    </row>
    <row r="387" spans="1:24" x14ac:dyDescent="0.25">
      <c r="A387" t="s">
        <v>393</v>
      </c>
      <c r="B387" t="s">
        <v>1465</v>
      </c>
      <c r="C387" s="1" t="s">
        <v>1466</v>
      </c>
      <c r="D387" s="1" t="s">
        <v>1646</v>
      </c>
      <c r="E387" s="1" t="s">
        <v>1467</v>
      </c>
      <c r="F387" s="1" t="s">
        <v>1696</v>
      </c>
      <c r="G387" s="1" t="s">
        <v>1585</v>
      </c>
      <c r="H387" s="1" t="s">
        <v>40</v>
      </c>
      <c r="I387" s="1" t="s">
        <v>22</v>
      </c>
      <c r="J387" s="1" t="s">
        <v>32</v>
      </c>
      <c r="K387" s="1" t="s">
        <v>33</v>
      </c>
      <c r="L387" s="1" t="s">
        <v>32</v>
      </c>
      <c r="M387" s="2">
        <v>45155</v>
      </c>
      <c r="N387" s="2" t="s">
        <v>25</v>
      </c>
      <c r="O387" s="2" t="s">
        <v>25</v>
      </c>
      <c r="P387" s="2" t="s">
        <v>25</v>
      </c>
      <c r="Q387" s="1" t="s">
        <v>26</v>
      </c>
      <c r="R387" s="7">
        <v>127419.67</v>
      </c>
      <c r="S387" s="7">
        <v>10617.8</v>
      </c>
      <c r="T387" s="7">
        <v>3366.99</v>
      </c>
      <c r="U387" s="7">
        <v>992.31</v>
      </c>
      <c r="V387" s="7">
        <v>0</v>
      </c>
      <c r="W387" s="10">
        <v>167.46270000000001</v>
      </c>
      <c r="X387" s="10">
        <v>171.96950000000001</v>
      </c>
    </row>
    <row r="388" spans="1:24" x14ac:dyDescent="0.25">
      <c r="A388" t="s">
        <v>167</v>
      </c>
      <c r="B388" t="s">
        <v>1468</v>
      </c>
      <c r="C388" s="1" t="s">
        <v>1469</v>
      </c>
      <c r="D388" s="1" t="s">
        <v>1646</v>
      </c>
      <c r="E388" s="1" t="s">
        <v>1470</v>
      </c>
      <c r="F388" s="1" t="s">
        <v>1696</v>
      </c>
      <c r="G388" s="1" t="s">
        <v>1585</v>
      </c>
      <c r="H388" s="1" t="s">
        <v>194</v>
      </c>
      <c r="I388" s="1" t="s">
        <v>22</v>
      </c>
      <c r="J388" s="1" t="s">
        <v>23</v>
      </c>
      <c r="K388" s="1" t="s">
        <v>24</v>
      </c>
      <c r="L388" s="1" t="s">
        <v>23</v>
      </c>
      <c r="M388" s="2">
        <v>45849</v>
      </c>
      <c r="N388" s="2" t="s">
        <v>25</v>
      </c>
      <c r="O388" s="1" t="s">
        <v>531</v>
      </c>
      <c r="P388" s="2" t="s">
        <v>25</v>
      </c>
      <c r="Q388" s="1" t="s">
        <v>26</v>
      </c>
      <c r="R388" s="7">
        <v>94946.32</v>
      </c>
      <c r="S388" s="7">
        <v>6781.88</v>
      </c>
      <c r="T388" s="7">
        <v>3366.99</v>
      </c>
      <c r="U388" s="7">
        <v>2162.85</v>
      </c>
      <c r="V388" s="7">
        <v>1252.04</v>
      </c>
      <c r="W388" s="10">
        <v>474.62689999999998</v>
      </c>
      <c r="X388" s="10">
        <v>237.3537</v>
      </c>
    </row>
    <row r="389" spans="1:24" x14ac:dyDescent="0.25">
      <c r="A389" t="s">
        <v>1471</v>
      </c>
      <c r="B389" t="s">
        <v>1472</v>
      </c>
      <c r="C389" s="1" t="s">
        <v>1473</v>
      </c>
      <c r="D389" s="1" t="s">
        <v>1647</v>
      </c>
      <c r="E389" s="1" t="s">
        <v>1474</v>
      </c>
      <c r="F389" s="1" t="s">
        <v>1696</v>
      </c>
      <c r="G389" s="1" t="s">
        <v>1585</v>
      </c>
      <c r="H389" s="1" t="s">
        <v>67</v>
      </c>
      <c r="I389" s="1" t="s">
        <v>22</v>
      </c>
      <c r="J389" s="1" t="s">
        <v>32</v>
      </c>
      <c r="K389" s="1" t="s">
        <v>33</v>
      </c>
      <c r="L389" s="1" t="s">
        <v>32</v>
      </c>
      <c r="M389" s="2">
        <v>45266</v>
      </c>
      <c r="N389" s="2" t="s">
        <v>25</v>
      </c>
      <c r="O389" s="1" t="s">
        <v>757</v>
      </c>
      <c r="P389" s="2" t="s">
        <v>25</v>
      </c>
      <c r="Q389" s="1" t="s">
        <v>26</v>
      </c>
      <c r="R389" s="7">
        <v>94946.32</v>
      </c>
      <c r="S389" s="7">
        <v>6781.88</v>
      </c>
      <c r="T389" s="7">
        <v>3366.99</v>
      </c>
      <c r="U389" s="7">
        <v>2162.85</v>
      </c>
      <c r="V389" s="7">
        <v>1252.04</v>
      </c>
      <c r="W389" s="10">
        <v>52.835799999999999</v>
      </c>
      <c r="X389" s="10">
        <v>302.73790000000002</v>
      </c>
    </row>
    <row r="390" spans="1:24" x14ac:dyDescent="0.25">
      <c r="A390" t="s">
        <v>1475</v>
      </c>
      <c r="B390" t="s">
        <v>1476</v>
      </c>
      <c r="C390" s="1" t="s">
        <v>1477</v>
      </c>
      <c r="D390" s="1" t="s">
        <v>1646</v>
      </c>
      <c r="E390" s="1" t="s">
        <v>1478</v>
      </c>
      <c r="F390" s="1" t="s">
        <v>1696</v>
      </c>
      <c r="G390" s="1" t="s">
        <v>1585</v>
      </c>
      <c r="H390" s="1" t="s">
        <v>213</v>
      </c>
      <c r="I390" s="1" t="s">
        <v>22</v>
      </c>
      <c r="J390" s="1" t="s">
        <v>32</v>
      </c>
      <c r="K390" s="1" t="s">
        <v>33</v>
      </c>
      <c r="L390" s="1" t="s">
        <v>32</v>
      </c>
      <c r="M390" s="2">
        <v>45155</v>
      </c>
      <c r="N390" s="2" t="s">
        <v>25</v>
      </c>
      <c r="O390" s="2" t="s">
        <v>25</v>
      </c>
      <c r="P390" s="2" t="s">
        <v>25</v>
      </c>
      <c r="Q390" s="1" t="s">
        <v>26</v>
      </c>
      <c r="R390" s="7">
        <v>101392.76</v>
      </c>
      <c r="S390" s="7">
        <v>7242.34</v>
      </c>
      <c r="T390" s="7">
        <v>3366.99</v>
      </c>
      <c r="U390" s="7">
        <v>2162.85</v>
      </c>
      <c r="V390" s="7">
        <v>1712.5</v>
      </c>
      <c r="W390" s="10">
        <v>150.4478</v>
      </c>
      <c r="X390" s="10">
        <v>190.77860000000001</v>
      </c>
    </row>
    <row r="391" spans="1:24" x14ac:dyDescent="0.25">
      <c r="A391" t="s">
        <v>1336</v>
      </c>
      <c r="B391" t="s">
        <v>1479</v>
      </c>
      <c r="C391" s="1" t="s">
        <v>1480</v>
      </c>
      <c r="D391" s="1" t="s">
        <v>1647</v>
      </c>
      <c r="E391" s="1" t="s">
        <v>1481</v>
      </c>
      <c r="F391" s="1" t="s">
        <v>1696</v>
      </c>
      <c r="G391" s="1" t="s">
        <v>1585</v>
      </c>
      <c r="H391" s="1" t="s">
        <v>95</v>
      </c>
      <c r="I391" s="1" t="s">
        <v>22</v>
      </c>
      <c r="J391" s="1" t="s">
        <v>32</v>
      </c>
      <c r="K391" s="1" t="s">
        <v>33</v>
      </c>
      <c r="L391" s="1" t="s">
        <v>32</v>
      </c>
      <c r="M391" s="2">
        <v>45155</v>
      </c>
      <c r="N391" s="2">
        <v>45302</v>
      </c>
      <c r="O391" s="2" t="s">
        <v>25</v>
      </c>
      <c r="P391" s="1" t="s">
        <v>676</v>
      </c>
      <c r="Q391" s="1" t="s">
        <v>35</v>
      </c>
      <c r="R391" s="7">
        <v>111762.8</v>
      </c>
      <c r="S391" s="7">
        <v>5964.65</v>
      </c>
      <c r="T391" s="7">
        <v>3366.99</v>
      </c>
      <c r="U391" s="7">
        <v>2018.41</v>
      </c>
      <c r="V391" s="7">
        <v>0</v>
      </c>
      <c r="W391" s="10">
        <v>52.835799999999999</v>
      </c>
      <c r="X391" s="10">
        <v>325.12979999999999</v>
      </c>
    </row>
    <row r="392" spans="1:24" x14ac:dyDescent="0.25">
      <c r="A392" t="s">
        <v>1482</v>
      </c>
      <c r="B392" t="s">
        <v>1483</v>
      </c>
      <c r="C392" s="1" t="s">
        <v>1484</v>
      </c>
      <c r="D392" s="1" t="s">
        <v>1647</v>
      </c>
      <c r="E392" s="1" t="s">
        <v>1485</v>
      </c>
      <c r="F392" s="1" t="s">
        <v>1696</v>
      </c>
      <c r="G392" s="1" t="s">
        <v>1585</v>
      </c>
      <c r="H392" s="1" t="s">
        <v>585</v>
      </c>
      <c r="I392" s="1" t="s">
        <v>22</v>
      </c>
      <c r="J392" s="1" t="s">
        <v>32</v>
      </c>
      <c r="K392" s="1" t="s">
        <v>33</v>
      </c>
      <c r="L392" s="1" t="s">
        <v>32</v>
      </c>
      <c r="M392" s="2">
        <v>45155</v>
      </c>
      <c r="N392" s="2" t="s">
        <v>25</v>
      </c>
      <c r="O392" s="2" t="s">
        <v>25</v>
      </c>
      <c r="P392" s="2" t="s">
        <v>25</v>
      </c>
      <c r="Q392" s="1" t="s">
        <v>26</v>
      </c>
      <c r="R392" s="7">
        <v>94946.32</v>
      </c>
      <c r="S392" s="7">
        <v>6781.88</v>
      </c>
      <c r="T392" s="7">
        <v>3366.99</v>
      </c>
      <c r="U392" s="7">
        <v>2162.85</v>
      </c>
      <c r="V392" s="7">
        <v>1252.04</v>
      </c>
      <c r="W392" s="10">
        <v>99.403000000000006</v>
      </c>
      <c r="X392" s="10">
        <v>215.85749999999999</v>
      </c>
    </row>
    <row r="393" spans="1:24" x14ac:dyDescent="0.25">
      <c r="A393" t="s">
        <v>369</v>
      </c>
      <c r="B393" t="s">
        <v>1486</v>
      </c>
      <c r="C393" s="1" t="s">
        <v>1487</v>
      </c>
      <c r="D393" s="1" t="s">
        <v>1646</v>
      </c>
      <c r="E393" s="1" t="s">
        <v>1488</v>
      </c>
      <c r="F393" s="1" t="s">
        <v>1696</v>
      </c>
      <c r="G393" s="1" t="s">
        <v>1585</v>
      </c>
      <c r="H393" s="1" t="s">
        <v>179</v>
      </c>
      <c r="I393" s="1" t="s">
        <v>22</v>
      </c>
      <c r="J393" s="1" t="s">
        <v>23</v>
      </c>
      <c r="K393" s="1" t="s">
        <v>24</v>
      </c>
      <c r="L393" s="1" t="s">
        <v>23</v>
      </c>
      <c r="M393" s="2">
        <v>45155</v>
      </c>
      <c r="N393" s="2" t="s">
        <v>25</v>
      </c>
      <c r="O393" s="2" t="s">
        <v>25</v>
      </c>
      <c r="P393" s="2" t="s">
        <v>25</v>
      </c>
      <c r="Q393" s="1" t="s">
        <v>26</v>
      </c>
      <c r="R393" s="7">
        <v>94946.32</v>
      </c>
      <c r="S393" s="7">
        <v>6781.88</v>
      </c>
      <c r="T393" s="7">
        <v>3366.99</v>
      </c>
      <c r="U393" s="7">
        <v>2162.85</v>
      </c>
      <c r="V393" s="7">
        <v>1252.04</v>
      </c>
      <c r="W393" s="10">
        <v>474.62689999999998</v>
      </c>
      <c r="X393" s="10">
        <v>291.09410000000003</v>
      </c>
    </row>
    <row r="394" spans="1:24" x14ac:dyDescent="0.25">
      <c r="A394" t="s">
        <v>1489</v>
      </c>
      <c r="B394" t="s">
        <v>1490</v>
      </c>
      <c r="C394" s="1" t="s">
        <v>1491</v>
      </c>
      <c r="D394" s="1" t="s">
        <v>1646</v>
      </c>
      <c r="E394" s="1" t="s">
        <v>1492</v>
      </c>
      <c r="F394" s="1" t="s">
        <v>1696</v>
      </c>
      <c r="G394" s="1" t="s">
        <v>1585</v>
      </c>
      <c r="H394" s="1" t="s">
        <v>585</v>
      </c>
      <c r="I394" s="1" t="s">
        <v>22</v>
      </c>
      <c r="J394" s="1" t="s">
        <v>23</v>
      </c>
      <c r="K394" s="1" t="s">
        <v>24</v>
      </c>
      <c r="L394" s="1" t="s">
        <v>23</v>
      </c>
      <c r="M394" s="2">
        <v>45155</v>
      </c>
      <c r="N394" s="2" t="s">
        <v>25</v>
      </c>
      <c r="O394" s="2" t="s">
        <v>25</v>
      </c>
      <c r="P394" s="2" t="s">
        <v>25</v>
      </c>
      <c r="Q394" s="1" t="s">
        <v>26</v>
      </c>
      <c r="R394" s="7">
        <v>77417.759999999995</v>
      </c>
      <c r="S394" s="7">
        <v>5529.84</v>
      </c>
      <c r="T394" s="7">
        <v>3366.99</v>
      </c>
      <c r="U394" s="7">
        <v>2162.85</v>
      </c>
      <c r="V394" s="7">
        <v>0</v>
      </c>
      <c r="W394" s="10">
        <v>335.82089999999999</v>
      </c>
      <c r="X394" s="10">
        <v>248.9975</v>
      </c>
    </row>
    <row r="395" spans="1:24" x14ac:dyDescent="0.25">
      <c r="A395" t="s">
        <v>17</v>
      </c>
      <c r="B395" t="s">
        <v>1493</v>
      </c>
      <c r="C395" s="1" t="s">
        <v>1494</v>
      </c>
      <c r="D395" s="1" t="s">
        <v>1647</v>
      </c>
      <c r="E395" s="1" t="s">
        <v>1495</v>
      </c>
      <c r="F395" s="1" t="s">
        <v>1696</v>
      </c>
      <c r="G395" s="1" t="s">
        <v>1585</v>
      </c>
      <c r="H395" s="1" t="s">
        <v>117</v>
      </c>
      <c r="I395" s="1" t="s">
        <v>22</v>
      </c>
      <c r="J395" s="1" t="s">
        <v>23</v>
      </c>
      <c r="K395" s="1" t="s">
        <v>24</v>
      </c>
      <c r="L395" s="1" t="s">
        <v>23</v>
      </c>
      <c r="M395" s="2">
        <v>45155</v>
      </c>
      <c r="N395" s="2" t="s">
        <v>25</v>
      </c>
      <c r="O395" s="2" t="s">
        <v>25</v>
      </c>
      <c r="P395" s="2" t="s">
        <v>25</v>
      </c>
      <c r="Q395" s="1" t="s">
        <v>26</v>
      </c>
      <c r="R395" s="7">
        <v>94946.32</v>
      </c>
      <c r="S395" s="7">
        <v>6781.88</v>
      </c>
      <c r="T395" s="7">
        <v>3366.99</v>
      </c>
      <c r="U395" s="7">
        <v>2162.85</v>
      </c>
      <c r="V395" s="7">
        <v>1252.04</v>
      </c>
      <c r="W395" s="10">
        <v>368.05970000000002</v>
      </c>
      <c r="X395" s="10">
        <v>124.4987</v>
      </c>
    </row>
    <row r="396" spans="1:24" x14ac:dyDescent="0.25">
      <c r="A396" t="s">
        <v>868</v>
      </c>
      <c r="B396" t="s">
        <v>1496</v>
      </c>
      <c r="C396" s="1" t="s">
        <v>1497</v>
      </c>
      <c r="D396" s="1" t="s">
        <v>1647</v>
      </c>
      <c r="E396" s="1" t="s">
        <v>1498</v>
      </c>
      <c r="F396" s="1" t="s">
        <v>1698</v>
      </c>
      <c r="G396" s="1" t="s">
        <v>1641</v>
      </c>
      <c r="H396" s="1" t="s">
        <v>108</v>
      </c>
      <c r="I396" s="1" t="s">
        <v>22</v>
      </c>
      <c r="J396" s="1" t="s">
        <v>32</v>
      </c>
      <c r="K396" s="1" t="s">
        <v>33</v>
      </c>
      <c r="L396" s="1" t="s">
        <v>1693</v>
      </c>
      <c r="M396" s="2">
        <v>45266</v>
      </c>
      <c r="N396" s="2" t="s">
        <v>25</v>
      </c>
      <c r="O396" s="1" t="s">
        <v>93</v>
      </c>
      <c r="P396" s="2" t="s">
        <v>25</v>
      </c>
      <c r="Q396" s="1" t="s">
        <v>26</v>
      </c>
      <c r="R396" s="7">
        <v>84650.53</v>
      </c>
      <c r="S396" s="7">
        <v>7054.21</v>
      </c>
      <c r="T396" s="7">
        <v>3366.99</v>
      </c>
      <c r="U396" s="7">
        <v>0</v>
      </c>
      <c r="V396" s="7">
        <v>0</v>
      </c>
      <c r="W396" s="10">
        <v>225.67160000000001</v>
      </c>
      <c r="X396" s="10">
        <v>173.76079999999999</v>
      </c>
    </row>
    <row r="397" spans="1:24" x14ac:dyDescent="0.25">
      <c r="A397" t="s">
        <v>1499</v>
      </c>
      <c r="B397" t="s">
        <v>1500</v>
      </c>
      <c r="C397" s="1" t="s">
        <v>1501</v>
      </c>
      <c r="D397" s="1" t="s">
        <v>1647</v>
      </c>
      <c r="E397" s="1" t="s">
        <v>1502</v>
      </c>
      <c r="F397" s="1" t="s">
        <v>1696</v>
      </c>
      <c r="G397" s="1" t="s">
        <v>1585</v>
      </c>
      <c r="H397" s="1" t="s">
        <v>285</v>
      </c>
      <c r="I397" s="1" t="s">
        <v>22</v>
      </c>
      <c r="J397" s="1" t="s">
        <v>23</v>
      </c>
      <c r="K397" s="1" t="s">
        <v>24</v>
      </c>
      <c r="L397" s="1" t="s">
        <v>23</v>
      </c>
      <c r="M397" s="2">
        <v>45155</v>
      </c>
      <c r="N397" s="2" t="s">
        <v>25</v>
      </c>
      <c r="O397" s="2" t="s">
        <v>25</v>
      </c>
      <c r="P397" s="2" t="s">
        <v>25</v>
      </c>
      <c r="Q397" s="1" t="s">
        <v>26</v>
      </c>
      <c r="R397" s="7">
        <v>94946.32</v>
      </c>
      <c r="S397" s="7">
        <v>6781.88</v>
      </c>
      <c r="T397" s="7">
        <v>3366.99</v>
      </c>
      <c r="U397" s="7">
        <v>2162.85</v>
      </c>
      <c r="V397" s="7">
        <v>1252.04</v>
      </c>
      <c r="W397" s="10">
        <v>304.4776</v>
      </c>
      <c r="X397" s="10">
        <v>33.139899999999997</v>
      </c>
    </row>
    <row r="398" spans="1:24" x14ac:dyDescent="0.25">
      <c r="C398" s="1" t="s">
        <v>1684</v>
      </c>
      <c r="D398" s="1" t="s">
        <v>1646</v>
      </c>
      <c r="E398" s="1" t="s">
        <v>1629</v>
      </c>
      <c r="F398" s="1" t="s">
        <v>1698</v>
      </c>
      <c r="G398" s="1" t="s">
        <v>1650</v>
      </c>
      <c r="H398" s="1" t="s">
        <v>1692</v>
      </c>
      <c r="I398" s="1" t="s">
        <v>22</v>
      </c>
      <c r="J398" s="1" t="s">
        <v>32</v>
      </c>
      <c r="K398" s="1" t="s">
        <v>33</v>
      </c>
      <c r="L398" s="1" t="s">
        <v>1693</v>
      </c>
      <c r="M398" s="2">
        <v>45155</v>
      </c>
      <c r="N398" s="2" t="s">
        <v>25</v>
      </c>
      <c r="O398" s="2" t="s">
        <v>25</v>
      </c>
      <c r="P398" s="2" t="s">
        <v>25</v>
      </c>
      <c r="Q398" s="1" t="s">
        <v>26</v>
      </c>
      <c r="R398" s="7">
        <v>92527.25</v>
      </c>
      <c r="S398" s="7">
        <v>7710.6</v>
      </c>
      <c r="T398" s="7">
        <v>7710.6</v>
      </c>
      <c r="U398" s="7">
        <v>0</v>
      </c>
      <c r="V398" s="7">
        <v>0</v>
      </c>
      <c r="W398" s="10">
        <v>270.44779999999997</v>
      </c>
      <c r="X398" s="10">
        <v>175.5522</v>
      </c>
    </row>
    <row r="399" spans="1:24" x14ac:dyDescent="0.25">
      <c r="A399" t="s">
        <v>52</v>
      </c>
      <c r="B399" t="s">
        <v>1503</v>
      </c>
      <c r="C399" s="1" t="s">
        <v>1504</v>
      </c>
      <c r="D399" s="1" t="s">
        <v>1647</v>
      </c>
      <c r="E399" s="1" t="s">
        <v>1505</v>
      </c>
      <c r="F399" s="1" t="s">
        <v>1696</v>
      </c>
      <c r="G399" s="1" t="s">
        <v>1585</v>
      </c>
      <c r="H399" s="1" t="s">
        <v>90</v>
      </c>
      <c r="I399" s="1" t="s">
        <v>22</v>
      </c>
      <c r="J399" s="1" t="s">
        <v>23</v>
      </c>
      <c r="K399" s="1" t="s">
        <v>24</v>
      </c>
      <c r="L399" s="1" t="s">
        <v>23</v>
      </c>
      <c r="M399" s="2">
        <v>45288</v>
      </c>
      <c r="N399" s="2" t="s">
        <v>25</v>
      </c>
      <c r="O399" s="1" t="s">
        <v>469</v>
      </c>
      <c r="P399" s="2" t="s">
        <v>25</v>
      </c>
      <c r="Q399" s="1" t="s">
        <v>26</v>
      </c>
      <c r="R399" s="7">
        <v>89103.7</v>
      </c>
      <c r="S399" s="7">
        <v>6364.55</v>
      </c>
      <c r="T399" s="7">
        <v>3366.99</v>
      </c>
      <c r="U399" s="7">
        <v>2162.85</v>
      </c>
      <c r="V399" s="7">
        <v>834.71</v>
      </c>
      <c r="W399" s="10">
        <v>352.83580000000001</v>
      </c>
      <c r="X399" s="10">
        <v>27.765899999999998</v>
      </c>
    </row>
    <row r="400" spans="1:24" x14ac:dyDescent="0.25">
      <c r="A400" t="s">
        <v>1506</v>
      </c>
      <c r="B400" t="s">
        <v>1507</v>
      </c>
      <c r="C400" s="1" t="s">
        <v>1508</v>
      </c>
      <c r="D400" s="1" t="s">
        <v>1647</v>
      </c>
      <c r="E400" s="1" t="s">
        <v>1509</v>
      </c>
      <c r="F400" s="1" t="s">
        <v>1696</v>
      </c>
      <c r="G400" s="1" t="s">
        <v>1585</v>
      </c>
      <c r="H400" s="1" t="s">
        <v>40</v>
      </c>
      <c r="I400" s="1" t="s">
        <v>22</v>
      </c>
      <c r="J400" s="1" t="s">
        <v>41</v>
      </c>
      <c r="K400" s="1" t="s">
        <v>42</v>
      </c>
      <c r="L400" s="1" t="s">
        <v>41</v>
      </c>
      <c r="M400" s="2">
        <v>45155</v>
      </c>
      <c r="N400" s="2">
        <v>45302</v>
      </c>
      <c r="O400" s="2" t="s">
        <v>25</v>
      </c>
      <c r="P400" s="1" t="s">
        <v>70</v>
      </c>
      <c r="Q400" s="1" t="s">
        <v>35</v>
      </c>
      <c r="R400" s="7">
        <v>57477.98</v>
      </c>
      <c r="S400" s="7">
        <v>4105.57</v>
      </c>
      <c r="T400" s="7">
        <v>3142.14</v>
      </c>
      <c r="U400" s="7">
        <v>963.43</v>
      </c>
      <c r="V400" s="7">
        <v>0</v>
      </c>
      <c r="W400" s="10">
        <v>224.77610000000001</v>
      </c>
      <c r="X400" s="10">
        <v>25.974599999999999</v>
      </c>
    </row>
    <row r="401" spans="1:24" x14ac:dyDescent="0.25">
      <c r="A401" t="s">
        <v>667</v>
      </c>
      <c r="B401" t="s">
        <v>1510</v>
      </c>
      <c r="C401" s="1" t="s">
        <v>1511</v>
      </c>
      <c r="D401" s="1" t="s">
        <v>1647</v>
      </c>
      <c r="E401" s="1" t="s">
        <v>1512</v>
      </c>
      <c r="F401" s="1" t="s">
        <v>1696</v>
      </c>
      <c r="G401" s="1" t="s">
        <v>1585</v>
      </c>
      <c r="H401" s="1" t="s">
        <v>31</v>
      </c>
      <c r="I401" s="1" t="s">
        <v>22</v>
      </c>
      <c r="J401" s="1" t="s">
        <v>32</v>
      </c>
      <c r="K401" s="1" t="s">
        <v>33</v>
      </c>
      <c r="L401" s="1" t="s">
        <v>32</v>
      </c>
      <c r="M401" s="2">
        <v>45155</v>
      </c>
      <c r="N401" s="2" t="s">
        <v>25</v>
      </c>
      <c r="O401" s="2" t="s">
        <v>25</v>
      </c>
      <c r="P401" s="2" t="s">
        <v>25</v>
      </c>
      <c r="Q401" s="1" t="s">
        <v>26</v>
      </c>
      <c r="R401" s="7">
        <v>94946.32</v>
      </c>
      <c r="S401" s="7">
        <v>6781.88</v>
      </c>
      <c r="T401" s="7">
        <v>3366.99</v>
      </c>
      <c r="U401" s="7">
        <v>2162.85</v>
      </c>
      <c r="V401" s="7">
        <v>1252.04</v>
      </c>
      <c r="W401" s="10">
        <v>6.2686999999999999</v>
      </c>
      <c r="X401" s="10">
        <v>225.7099</v>
      </c>
    </row>
    <row r="402" spans="1:24" x14ac:dyDescent="0.25">
      <c r="A402" t="s">
        <v>1513</v>
      </c>
      <c r="B402" t="s">
        <v>1514</v>
      </c>
      <c r="C402" s="1" t="s">
        <v>1515</v>
      </c>
      <c r="D402" s="1" t="s">
        <v>1647</v>
      </c>
      <c r="E402" s="1" t="s">
        <v>1516</v>
      </c>
      <c r="F402" s="1" t="s">
        <v>1696</v>
      </c>
      <c r="G402" s="1" t="s">
        <v>1585</v>
      </c>
      <c r="H402" s="1" t="s">
        <v>40</v>
      </c>
      <c r="I402" s="1" t="s">
        <v>22</v>
      </c>
      <c r="J402" s="1" t="s">
        <v>23</v>
      </c>
      <c r="K402" s="1" t="s">
        <v>24</v>
      </c>
      <c r="L402" s="1" t="s">
        <v>23</v>
      </c>
      <c r="M402" s="2">
        <v>45310</v>
      </c>
      <c r="N402" s="2" t="s">
        <v>25</v>
      </c>
      <c r="O402" s="1" t="s">
        <v>1541</v>
      </c>
      <c r="P402" s="2" t="s">
        <v>25</v>
      </c>
      <c r="Q402" s="1" t="s">
        <v>26</v>
      </c>
      <c r="R402" s="7">
        <v>85566.18</v>
      </c>
      <c r="S402" s="7">
        <v>6111.87</v>
      </c>
      <c r="T402" s="7">
        <v>3366.99</v>
      </c>
      <c r="U402" s="7">
        <v>1032.3800000000001</v>
      </c>
      <c r="V402" s="7">
        <v>1712.5</v>
      </c>
      <c r="W402" s="10">
        <v>353.73129999999998</v>
      </c>
      <c r="X402" s="10">
        <v>146.89060000000001</v>
      </c>
    </row>
    <row r="403" spans="1:24" x14ac:dyDescent="0.25">
      <c r="C403" s="1" t="s">
        <v>1683</v>
      </c>
      <c r="D403" s="1" t="s">
        <v>1646</v>
      </c>
      <c r="E403" s="1" t="s">
        <v>1628</v>
      </c>
      <c r="F403" s="1" t="s">
        <v>1698</v>
      </c>
      <c r="G403" s="1" t="s">
        <v>1651</v>
      </c>
      <c r="H403" s="1" t="s">
        <v>1692</v>
      </c>
      <c r="I403" s="1" t="s">
        <v>22</v>
      </c>
      <c r="J403" s="1" t="s">
        <v>125</v>
      </c>
      <c r="K403" s="1" t="s">
        <v>1660</v>
      </c>
      <c r="L403" s="1" t="s">
        <v>1693</v>
      </c>
      <c r="M403" s="2">
        <v>45155</v>
      </c>
      <c r="N403" s="2" t="s">
        <v>25</v>
      </c>
      <c r="O403" s="2" t="s">
        <v>25</v>
      </c>
      <c r="P403" s="2" t="s">
        <v>25</v>
      </c>
      <c r="Q403" s="1" t="s">
        <v>26</v>
      </c>
      <c r="R403" s="7">
        <v>87448.47</v>
      </c>
      <c r="S403" s="7">
        <v>7287.37</v>
      </c>
      <c r="T403" s="7">
        <v>7287.37</v>
      </c>
      <c r="U403" s="7">
        <v>0</v>
      </c>
      <c r="V403" s="7">
        <v>0</v>
      </c>
      <c r="W403" s="10">
        <v>304.4776</v>
      </c>
      <c r="X403" s="10">
        <v>194.3613</v>
      </c>
    </row>
    <row r="404" spans="1:24" x14ac:dyDescent="0.25">
      <c r="A404" t="s">
        <v>652</v>
      </c>
      <c r="B404" t="s">
        <v>1517</v>
      </c>
      <c r="C404" s="1" t="s">
        <v>1518</v>
      </c>
      <c r="D404" s="1" t="s">
        <v>1646</v>
      </c>
      <c r="E404" s="1" t="s">
        <v>1519</v>
      </c>
      <c r="F404" s="1" t="s">
        <v>1696</v>
      </c>
      <c r="G404" s="1" t="s">
        <v>1585</v>
      </c>
      <c r="H404" s="1" t="s">
        <v>259</v>
      </c>
      <c r="I404" s="1" t="s">
        <v>22</v>
      </c>
      <c r="J404" s="1" t="s">
        <v>125</v>
      </c>
      <c r="K404" s="1" t="s">
        <v>124</v>
      </c>
      <c r="L404" s="1" t="s">
        <v>125</v>
      </c>
      <c r="M404" s="2">
        <v>45155</v>
      </c>
      <c r="N404" s="2" t="s">
        <v>25</v>
      </c>
      <c r="O404" s="2" t="s">
        <v>25</v>
      </c>
      <c r="P404" s="2" t="s">
        <v>25</v>
      </c>
      <c r="Q404" s="1" t="s">
        <v>26</v>
      </c>
      <c r="R404" s="7">
        <v>94946.32</v>
      </c>
      <c r="S404" s="7">
        <v>6781.88</v>
      </c>
      <c r="T404" s="7">
        <v>3366.99</v>
      </c>
      <c r="U404" s="7">
        <v>2162.85</v>
      </c>
      <c r="V404" s="7">
        <v>1252.04</v>
      </c>
      <c r="W404" s="10">
        <v>226.56720000000001</v>
      </c>
      <c r="X404" s="10">
        <v>127.1858</v>
      </c>
    </row>
    <row r="405" spans="1:24" x14ac:dyDescent="0.25">
      <c r="A405" t="s">
        <v>17</v>
      </c>
      <c r="B405" t="s">
        <v>1520</v>
      </c>
      <c r="C405" s="1" t="s">
        <v>1521</v>
      </c>
      <c r="D405" s="1" t="s">
        <v>1647</v>
      </c>
      <c r="E405" s="1" t="s">
        <v>1522</v>
      </c>
      <c r="F405" s="1" t="s">
        <v>1696</v>
      </c>
      <c r="G405" s="1" t="s">
        <v>1585</v>
      </c>
      <c r="H405" s="1" t="s">
        <v>144</v>
      </c>
      <c r="I405" s="1" t="s">
        <v>22</v>
      </c>
      <c r="J405" s="1" t="s">
        <v>34</v>
      </c>
      <c r="K405" s="1" t="s">
        <v>1523</v>
      </c>
      <c r="L405" s="1" t="s">
        <v>34</v>
      </c>
      <c r="M405" s="2">
        <v>45155</v>
      </c>
      <c r="N405" s="2" t="s">
        <v>25</v>
      </c>
      <c r="O405" s="2" t="s">
        <v>25</v>
      </c>
      <c r="P405" s="2" t="s">
        <v>25</v>
      </c>
      <c r="Q405" s="1" t="s">
        <v>26</v>
      </c>
      <c r="R405" s="7">
        <v>129905.02</v>
      </c>
      <c r="S405" s="7">
        <v>9278.93</v>
      </c>
      <c r="T405" s="7">
        <v>3366.99</v>
      </c>
      <c r="U405" s="7">
        <v>2162.85</v>
      </c>
      <c r="V405" s="7">
        <v>3749.09</v>
      </c>
      <c r="W405" s="10">
        <v>95.820899999999995</v>
      </c>
      <c r="X405" s="10">
        <v>74.340999999999994</v>
      </c>
    </row>
    <row r="406" spans="1:24" x14ac:dyDescent="0.25">
      <c r="A406" t="s">
        <v>299</v>
      </c>
      <c r="B406" t="s">
        <v>1524</v>
      </c>
      <c r="C406" s="1" t="s">
        <v>1525</v>
      </c>
      <c r="D406" s="1" t="s">
        <v>1647</v>
      </c>
      <c r="E406" s="1" t="s">
        <v>1526</v>
      </c>
      <c r="F406" s="1" t="s">
        <v>1696</v>
      </c>
      <c r="G406" s="1" t="s">
        <v>1585</v>
      </c>
      <c r="H406" s="1" t="s">
        <v>67</v>
      </c>
      <c r="I406" s="1" t="s">
        <v>22</v>
      </c>
      <c r="J406" s="1" t="s">
        <v>123</v>
      </c>
      <c r="K406" s="1" t="s">
        <v>149</v>
      </c>
      <c r="L406" s="1" t="s">
        <v>123</v>
      </c>
      <c r="M406" s="2">
        <v>45155</v>
      </c>
      <c r="N406" s="2" t="s">
        <v>25</v>
      </c>
      <c r="O406" s="2" t="s">
        <v>25</v>
      </c>
      <c r="P406" s="2" t="s">
        <v>25</v>
      </c>
      <c r="Q406" s="1" t="s">
        <v>26</v>
      </c>
      <c r="R406" s="7">
        <v>101392.76</v>
      </c>
      <c r="S406" s="7">
        <v>7242.34</v>
      </c>
      <c r="T406" s="7">
        <v>3366.99</v>
      </c>
      <c r="U406" s="7">
        <v>2162.85</v>
      </c>
      <c r="V406" s="7">
        <v>1712.5</v>
      </c>
      <c r="W406" s="10">
        <v>308.05970000000002</v>
      </c>
      <c r="X406" s="10">
        <v>84.193399999999997</v>
      </c>
    </row>
    <row r="407" spans="1:24" x14ac:dyDescent="0.25">
      <c r="A407" t="s">
        <v>596</v>
      </c>
      <c r="B407" t="s">
        <v>1527</v>
      </c>
      <c r="C407" s="1" t="s">
        <v>1528</v>
      </c>
      <c r="D407" s="1" t="s">
        <v>1647</v>
      </c>
      <c r="E407" s="1" t="s">
        <v>1529</v>
      </c>
      <c r="F407" s="1" t="s">
        <v>1696</v>
      </c>
      <c r="G407" s="1" t="s">
        <v>1585</v>
      </c>
      <c r="H407" s="1" t="s">
        <v>61</v>
      </c>
      <c r="I407" s="1" t="s">
        <v>22</v>
      </c>
      <c r="J407" s="1" t="s">
        <v>62</v>
      </c>
      <c r="K407" s="1" t="s">
        <v>63</v>
      </c>
      <c r="L407" s="1" t="s">
        <v>62</v>
      </c>
      <c r="M407" s="2">
        <v>45155</v>
      </c>
      <c r="N407" s="2" t="s">
        <v>25</v>
      </c>
      <c r="O407" s="2" t="s">
        <v>25</v>
      </c>
      <c r="P407" s="2" t="s">
        <v>25</v>
      </c>
      <c r="Q407" s="1" t="s">
        <v>26</v>
      </c>
      <c r="R407" s="7">
        <v>139710.06</v>
      </c>
      <c r="S407" s="7">
        <v>9979.2900000000009</v>
      </c>
      <c r="T407" s="7">
        <v>3366.99</v>
      </c>
      <c r="U407" s="7">
        <v>2162.85</v>
      </c>
      <c r="V407" s="7">
        <v>4449.45</v>
      </c>
      <c r="W407" s="10">
        <v>284.77609999999999</v>
      </c>
      <c r="X407" s="10">
        <v>157.6387</v>
      </c>
    </row>
    <row r="408" spans="1:24" x14ac:dyDescent="0.25">
      <c r="A408" t="s">
        <v>667</v>
      </c>
      <c r="B408" t="s">
        <v>1530</v>
      </c>
      <c r="C408" s="1" t="s">
        <v>1531</v>
      </c>
      <c r="D408" s="1" t="s">
        <v>1647</v>
      </c>
      <c r="E408" s="1" t="s">
        <v>1532</v>
      </c>
      <c r="F408" s="1" t="s">
        <v>1696</v>
      </c>
      <c r="G408" s="1" t="s">
        <v>1585</v>
      </c>
      <c r="H408" s="1" t="s">
        <v>40</v>
      </c>
      <c r="I408" s="1" t="s">
        <v>22</v>
      </c>
      <c r="J408" s="1" t="s">
        <v>23</v>
      </c>
      <c r="K408" s="1" t="s">
        <v>24</v>
      </c>
      <c r="L408" s="1" t="s">
        <v>23</v>
      </c>
      <c r="M408" s="2">
        <v>45155</v>
      </c>
      <c r="N408" s="2" t="s">
        <v>25</v>
      </c>
      <c r="O408" s="2" t="s">
        <v>25</v>
      </c>
      <c r="P408" s="2" t="s">
        <v>25</v>
      </c>
      <c r="Q408" s="1" t="s">
        <v>26</v>
      </c>
      <c r="R408" s="7">
        <v>79119.740000000005</v>
      </c>
      <c r="S408" s="7">
        <v>5651.41</v>
      </c>
      <c r="T408" s="7">
        <v>3366.99</v>
      </c>
      <c r="U408" s="7">
        <v>1032.3800000000001</v>
      </c>
      <c r="V408" s="7">
        <v>1252.04</v>
      </c>
      <c r="W408" s="10">
        <v>381.49250000000001</v>
      </c>
      <c r="X408" s="10">
        <v>270.49360000000001</v>
      </c>
    </row>
    <row r="409" spans="1:24" x14ac:dyDescent="0.25">
      <c r="A409" t="s">
        <v>1533</v>
      </c>
      <c r="B409" t="s">
        <v>1534</v>
      </c>
      <c r="C409" s="1" t="s">
        <v>1535</v>
      </c>
      <c r="D409" s="1" t="s">
        <v>1647</v>
      </c>
      <c r="E409" s="1" t="s">
        <v>1536</v>
      </c>
      <c r="F409" s="1" t="s">
        <v>1696</v>
      </c>
      <c r="G409" s="1" t="s">
        <v>1585</v>
      </c>
      <c r="H409" s="1" t="s">
        <v>479</v>
      </c>
      <c r="I409" s="1" t="s">
        <v>22</v>
      </c>
      <c r="J409" s="1" t="s">
        <v>23</v>
      </c>
      <c r="K409" s="1" t="s">
        <v>24</v>
      </c>
      <c r="L409" s="1" t="s">
        <v>23</v>
      </c>
      <c r="M409" s="2">
        <v>45155</v>
      </c>
      <c r="N409" s="2" t="s">
        <v>25</v>
      </c>
      <c r="O409" s="2" t="s">
        <v>25</v>
      </c>
      <c r="P409" s="2" t="s">
        <v>25</v>
      </c>
      <c r="Q409" s="1" t="s">
        <v>26</v>
      </c>
      <c r="R409" s="7">
        <v>94946.32</v>
      </c>
      <c r="S409" s="7">
        <v>6781.88</v>
      </c>
      <c r="T409" s="7">
        <v>3366.99</v>
      </c>
      <c r="U409" s="7">
        <v>2162.85</v>
      </c>
      <c r="V409" s="7">
        <v>1252.04</v>
      </c>
      <c r="W409" s="10">
        <v>418.209</v>
      </c>
      <c r="X409" s="10">
        <v>158.53440000000001</v>
      </c>
    </row>
    <row r="410" spans="1:24" x14ac:dyDescent="0.25">
      <c r="A410" t="s">
        <v>644</v>
      </c>
      <c r="B410" t="s">
        <v>1537</v>
      </c>
      <c r="C410" s="1" t="s">
        <v>1538</v>
      </c>
      <c r="D410" s="1" t="s">
        <v>1647</v>
      </c>
      <c r="E410" s="1" t="s">
        <v>1539</v>
      </c>
      <c r="F410" s="1" t="s">
        <v>1696</v>
      </c>
      <c r="G410" s="1" t="s">
        <v>1585</v>
      </c>
      <c r="H410" s="1" t="s">
        <v>259</v>
      </c>
      <c r="I410" s="1" t="s">
        <v>22</v>
      </c>
      <c r="J410" s="1" t="s">
        <v>23</v>
      </c>
      <c r="K410" s="1" t="s">
        <v>24</v>
      </c>
      <c r="L410" s="1" t="s">
        <v>23</v>
      </c>
      <c r="M410" s="2">
        <v>45155</v>
      </c>
      <c r="N410" s="2" t="s">
        <v>25</v>
      </c>
      <c r="O410" s="2" t="s">
        <v>25</v>
      </c>
      <c r="P410" s="2" t="s">
        <v>25</v>
      </c>
      <c r="Q410" s="1" t="s">
        <v>26</v>
      </c>
      <c r="R410" s="7">
        <v>94946.32</v>
      </c>
      <c r="S410" s="7">
        <v>6781.88</v>
      </c>
      <c r="T410" s="7">
        <v>3366.99</v>
      </c>
      <c r="U410" s="7">
        <v>2162.85</v>
      </c>
      <c r="V410" s="7">
        <v>1252.04</v>
      </c>
      <c r="W410" s="10">
        <v>248.95519999999999</v>
      </c>
      <c r="X410" s="10">
        <v>25.974599999999999</v>
      </c>
    </row>
    <row r="411" spans="1:24" x14ac:dyDescent="0.25">
      <c r="A411" t="s">
        <v>162</v>
      </c>
      <c r="B411" t="s">
        <v>1540</v>
      </c>
      <c r="C411" s="1" t="s">
        <v>1541</v>
      </c>
      <c r="D411" s="1" t="s">
        <v>1646</v>
      </c>
      <c r="E411" s="1" t="s">
        <v>1542</v>
      </c>
      <c r="F411" s="1" t="s">
        <v>1696</v>
      </c>
      <c r="G411" s="1" t="s">
        <v>1585</v>
      </c>
      <c r="H411" s="1" t="s">
        <v>40</v>
      </c>
      <c r="I411" s="1" t="s">
        <v>22</v>
      </c>
      <c r="J411" s="1" t="s">
        <v>23</v>
      </c>
      <c r="K411" s="1" t="s">
        <v>24</v>
      </c>
      <c r="L411" s="1" t="s">
        <v>23</v>
      </c>
      <c r="M411" s="2">
        <v>45155</v>
      </c>
      <c r="N411" s="2">
        <v>45310</v>
      </c>
      <c r="O411" s="2" t="s">
        <v>25</v>
      </c>
      <c r="P411" s="1" t="s">
        <v>1515</v>
      </c>
      <c r="Q411" s="1" t="s">
        <v>35</v>
      </c>
      <c r="R411" s="7">
        <v>57477.98</v>
      </c>
      <c r="S411" s="7">
        <v>4105.57</v>
      </c>
      <c r="T411" s="7">
        <v>3142.14</v>
      </c>
      <c r="U411" s="7">
        <v>963.43</v>
      </c>
      <c r="V411" s="7">
        <v>0</v>
      </c>
      <c r="W411" s="10">
        <v>353.73129999999998</v>
      </c>
      <c r="X411" s="10">
        <v>146.89060000000001</v>
      </c>
    </row>
    <row r="412" spans="1:24" x14ac:dyDescent="0.25">
      <c r="A412" t="s">
        <v>1543</v>
      </c>
      <c r="B412" t="s">
        <v>1544</v>
      </c>
      <c r="C412" s="1" t="s">
        <v>1545</v>
      </c>
      <c r="D412" s="1" t="s">
        <v>1647</v>
      </c>
      <c r="E412" s="1" t="s">
        <v>1546</v>
      </c>
      <c r="F412" s="1" t="s">
        <v>1696</v>
      </c>
      <c r="G412" s="1" t="s">
        <v>1585</v>
      </c>
      <c r="H412" s="1" t="s">
        <v>122</v>
      </c>
      <c r="I412" s="1" t="s">
        <v>22</v>
      </c>
      <c r="J412" s="1" t="s">
        <v>23</v>
      </c>
      <c r="K412" s="1" t="s">
        <v>24</v>
      </c>
      <c r="L412" s="1" t="s">
        <v>23</v>
      </c>
      <c r="M412" s="2">
        <v>45450</v>
      </c>
      <c r="N412" s="2" t="s">
        <v>25</v>
      </c>
      <c r="O412" s="1" t="s">
        <v>745</v>
      </c>
      <c r="P412" s="2" t="s">
        <v>25</v>
      </c>
      <c r="Q412" s="1" t="s">
        <v>26</v>
      </c>
      <c r="R412" s="7">
        <v>89103.7</v>
      </c>
      <c r="S412" s="7">
        <v>6364.55</v>
      </c>
      <c r="T412" s="7">
        <v>3366.99</v>
      </c>
      <c r="U412" s="7">
        <v>2162.85</v>
      </c>
      <c r="V412" s="7">
        <v>834.71</v>
      </c>
      <c r="W412" s="10">
        <v>317.01490000000001</v>
      </c>
      <c r="X412" s="10">
        <v>15.2265</v>
      </c>
    </row>
    <row r="413" spans="1:24" x14ac:dyDescent="0.25">
      <c r="A413" t="s">
        <v>1547</v>
      </c>
      <c r="B413" t="s">
        <v>1548</v>
      </c>
      <c r="C413" s="1" t="s">
        <v>1549</v>
      </c>
      <c r="D413" s="1" t="s">
        <v>1647</v>
      </c>
      <c r="E413" s="1" t="s">
        <v>1550</v>
      </c>
      <c r="F413" s="1" t="s">
        <v>1696</v>
      </c>
      <c r="G413" s="1" t="s">
        <v>1585</v>
      </c>
      <c r="H413" s="1" t="s">
        <v>421</v>
      </c>
      <c r="I413" s="1" t="s">
        <v>22</v>
      </c>
      <c r="J413" s="1" t="s">
        <v>125</v>
      </c>
      <c r="K413" s="1" t="s">
        <v>245</v>
      </c>
      <c r="L413" s="1" t="s">
        <v>34</v>
      </c>
      <c r="M413" s="2">
        <v>45155</v>
      </c>
      <c r="N413" s="2" t="s">
        <v>25</v>
      </c>
      <c r="O413" s="2" t="s">
        <v>25</v>
      </c>
      <c r="P413" s="2" t="s">
        <v>25</v>
      </c>
      <c r="Q413" s="1" t="s">
        <v>26</v>
      </c>
      <c r="R413" s="7">
        <v>94946.32</v>
      </c>
      <c r="S413" s="7">
        <v>6781.88</v>
      </c>
      <c r="T413" s="7">
        <v>3366.99</v>
      </c>
      <c r="U413" s="7">
        <v>2162.85</v>
      </c>
      <c r="V413" s="7">
        <v>1252.04</v>
      </c>
      <c r="W413" s="10">
        <v>285.67160000000001</v>
      </c>
      <c r="X413" s="10">
        <v>77.923699999999997</v>
      </c>
    </row>
    <row r="414" spans="1:24" x14ac:dyDescent="0.25">
      <c r="A414" t="s">
        <v>1551</v>
      </c>
      <c r="B414" t="s">
        <v>1552</v>
      </c>
      <c r="C414" s="1" t="s">
        <v>1553</v>
      </c>
      <c r="D414" s="1" t="s">
        <v>1647</v>
      </c>
      <c r="E414" s="1" t="s">
        <v>1554</v>
      </c>
      <c r="F414" s="1" t="s">
        <v>1696</v>
      </c>
      <c r="G414" s="1" t="s">
        <v>1585</v>
      </c>
      <c r="H414" s="1" t="s">
        <v>515</v>
      </c>
      <c r="I414" s="1" t="s">
        <v>22</v>
      </c>
      <c r="J414" s="1" t="s">
        <v>23</v>
      </c>
      <c r="K414" s="1" t="s">
        <v>24</v>
      </c>
      <c r="L414" s="1" t="s">
        <v>23</v>
      </c>
      <c r="M414" s="2">
        <v>45155</v>
      </c>
      <c r="N414" s="2" t="s">
        <v>25</v>
      </c>
      <c r="O414" s="2" t="s">
        <v>25</v>
      </c>
      <c r="P414" s="2" t="s">
        <v>25</v>
      </c>
      <c r="Q414" s="1" t="s">
        <v>26</v>
      </c>
      <c r="R414" s="7">
        <v>94946.32</v>
      </c>
      <c r="S414" s="7">
        <v>6781.88</v>
      </c>
      <c r="T414" s="7">
        <v>3366.99</v>
      </c>
      <c r="U414" s="7">
        <v>2162.85</v>
      </c>
      <c r="V414" s="7">
        <v>1252.04</v>
      </c>
      <c r="W414" s="10">
        <v>409.25369999999998</v>
      </c>
      <c r="X414" s="10">
        <v>97.628500000000003</v>
      </c>
    </row>
    <row r="415" spans="1:24" x14ac:dyDescent="0.25">
      <c r="A415" t="s">
        <v>82</v>
      </c>
      <c r="B415" t="s">
        <v>1555</v>
      </c>
      <c r="C415" s="1" t="s">
        <v>1556</v>
      </c>
      <c r="D415" s="1" t="s">
        <v>1646</v>
      </c>
      <c r="E415" s="1" t="s">
        <v>1557</v>
      </c>
      <c r="F415" s="1" t="s">
        <v>1696</v>
      </c>
      <c r="G415" s="1" t="s">
        <v>1585</v>
      </c>
      <c r="H415" s="1" t="s">
        <v>108</v>
      </c>
      <c r="I415" s="1" t="s">
        <v>22</v>
      </c>
      <c r="J415" s="1" t="s">
        <v>23</v>
      </c>
      <c r="K415" s="1" t="s">
        <v>24</v>
      </c>
      <c r="L415" s="1" t="s">
        <v>23</v>
      </c>
      <c r="M415" s="2">
        <v>45155</v>
      </c>
      <c r="N415" s="2" t="s">
        <v>25</v>
      </c>
      <c r="O415" s="2" t="s">
        <v>25</v>
      </c>
      <c r="P415" s="2" t="s">
        <v>25</v>
      </c>
      <c r="Q415" s="1" t="s">
        <v>26</v>
      </c>
      <c r="R415" s="7">
        <v>89103.7</v>
      </c>
      <c r="S415" s="7">
        <v>6364.55</v>
      </c>
      <c r="T415" s="7">
        <v>3366.99</v>
      </c>
      <c r="U415" s="7">
        <v>2162.85</v>
      </c>
      <c r="V415" s="7">
        <v>834.71</v>
      </c>
      <c r="W415" s="10">
        <v>473.73129999999998</v>
      </c>
      <c r="X415" s="10">
        <v>225.7099</v>
      </c>
    </row>
    <row r="416" spans="1:24" x14ac:dyDescent="0.25">
      <c r="A416" t="s">
        <v>1558</v>
      </c>
      <c r="B416" t="s">
        <v>1559</v>
      </c>
      <c r="C416" s="1" t="s">
        <v>1560</v>
      </c>
      <c r="D416" s="1" t="s">
        <v>1647</v>
      </c>
      <c r="E416" s="1" t="s">
        <v>1561</v>
      </c>
      <c r="F416" s="1" t="s">
        <v>1696</v>
      </c>
      <c r="G416" s="1" t="s">
        <v>1585</v>
      </c>
      <c r="H416" s="1" t="s">
        <v>428</v>
      </c>
      <c r="I416" s="1" t="s">
        <v>22</v>
      </c>
      <c r="J416" s="1" t="s">
        <v>23</v>
      </c>
      <c r="K416" s="1" t="s">
        <v>24</v>
      </c>
      <c r="L416" s="1" t="s">
        <v>23</v>
      </c>
      <c r="M416" s="2">
        <v>45155</v>
      </c>
      <c r="N416" s="2" t="s">
        <v>25</v>
      </c>
      <c r="O416" s="2" t="s">
        <v>25</v>
      </c>
      <c r="P416" s="2" t="s">
        <v>25</v>
      </c>
      <c r="Q416" s="1" t="s">
        <v>26</v>
      </c>
      <c r="R416" s="7">
        <v>94946.32</v>
      </c>
      <c r="S416" s="7">
        <v>6781.88</v>
      </c>
      <c r="T416" s="7">
        <v>3366.99</v>
      </c>
      <c r="U416" s="7">
        <v>2162.85</v>
      </c>
      <c r="V416" s="7">
        <v>1252.04</v>
      </c>
      <c r="W416" s="10">
        <v>423.58210000000003</v>
      </c>
      <c r="X416" s="10">
        <v>176.4478</v>
      </c>
    </row>
    <row r="417" spans="1:24" x14ac:dyDescent="0.25">
      <c r="A417" t="s">
        <v>1562</v>
      </c>
      <c r="B417" t="s">
        <v>1563</v>
      </c>
      <c r="C417" s="1" t="s">
        <v>1564</v>
      </c>
      <c r="D417" s="1" t="s">
        <v>1646</v>
      </c>
      <c r="E417" s="1" t="s">
        <v>1565</v>
      </c>
      <c r="F417" s="1" t="s">
        <v>1696</v>
      </c>
      <c r="G417" s="1" t="s">
        <v>1585</v>
      </c>
      <c r="H417" s="1" t="s">
        <v>67</v>
      </c>
      <c r="I417" s="1" t="s">
        <v>22</v>
      </c>
      <c r="J417" s="1" t="s">
        <v>32</v>
      </c>
      <c r="K417" s="1" t="s">
        <v>33</v>
      </c>
      <c r="L417" s="1" t="s">
        <v>32</v>
      </c>
      <c r="M417" s="2">
        <v>45155</v>
      </c>
      <c r="N417" s="2" t="s">
        <v>25</v>
      </c>
      <c r="O417" s="2" t="s">
        <v>25</v>
      </c>
      <c r="P417" s="2" t="s">
        <v>25</v>
      </c>
      <c r="Q417" s="1" t="s">
        <v>26</v>
      </c>
      <c r="R417" s="7">
        <v>94946.32</v>
      </c>
      <c r="S417" s="7">
        <v>6781.88</v>
      </c>
      <c r="T417" s="7">
        <v>3366.99</v>
      </c>
      <c r="U417" s="7">
        <v>2162.85</v>
      </c>
      <c r="V417" s="7">
        <v>1252.04</v>
      </c>
      <c r="W417" s="10">
        <v>26.8657</v>
      </c>
      <c r="X417" s="10">
        <v>226.60560000000001</v>
      </c>
    </row>
    <row r="418" spans="1:24" x14ac:dyDescent="0.25">
      <c r="A418" t="s">
        <v>1566</v>
      </c>
      <c r="B418" t="s">
        <v>1567</v>
      </c>
      <c r="C418" s="1" t="s">
        <v>1568</v>
      </c>
      <c r="D418" s="1" t="s">
        <v>1647</v>
      </c>
      <c r="E418" s="1" t="s">
        <v>1569</v>
      </c>
      <c r="F418" s="1" t="s">
        <v>1696</v>
      </c>
      <c r="G418" s="1" t="s">
        <v>1585</v>
      </c>
      <c r="H418" s="1" t="s">
        <v>95</v>
      </c>
      <c r="I418" s="1" t="s">
        <v>22</v>
      </c>
      <c r="J418" s="1" t="s">
        <v>125</v>
      </c>
      <c r="K418" s="1" t="s">
        <v>124</v>
      </c>
      <c r="L418" s="1" t="s">
        <v>125</v>
      </c>
      <c r="M418" s="2">
        <v>46052</v>
      </c>
      <c r="N418" s="2" t="s">
        <v>25</v>
      </c>
      <c r="O418" s="1" t="s">
        <v>1179</v>
      </c>
      <c r="P418" s="2" t="s">
        <v>25</v>
      </c>
      <c r="Q418" s="1" t="s">
        <v>26</v>
      </c>
      <c r="R418" s="7">
        <v>94946.32</v>
      </c>
      <c r="S418" s="7">
        <v>6781.88</v>
      </c>
      <c r="T418" s="7">
        <v>3366.99</v>
      </c>
      <c r="U418" s="7">
        <v>2162.85</v>
      </c>
      <c r="V418" s="7">
        <v>1252.04</v>
      </c>
      <c r="W418" s="10">
        <v>274.92540000000002</v>
      </c>
      <c r="X418" s="10">
        <v>128.97710000000001</v>
      </c>
    </row>
    <row r="419" spans="1:24" x14ac:dyDescent="0.25">
      <c r="A419" t="s">
        <v>1570</v>
      </c>
      <c r="B419" t="s">
        <v>1571</v>
      </c>
      <c r="C419" s="1" t="s">
        <v>1572</v>
      </c>
      <c r="D419" s="1" t="s">
        <v>1647</v>
      </c>
      <c r="E419" s="1" t="s">
        <v>1573</v>
      </c>
      <c r="F419" s="1" t="s">
        <v>1696</v>
      </c>
      <c r="G419" s="1" t="s">
        <v>1585</v>
      </c>
      <c r="H419" s="1" t="s">
        <v>67</v>
      </c>
      <c r="I419" s="1" t="s">
        <v>22</v>
      </c>
      <c r="J419" s="1" t="s">
        <v>125</v>
      </c>
      <c r="K419" s="1" t="s">
        <v>124</v>
      </c>
      <c r="L419" s="1" t="s">
        <v>34</v>
      </c>
      <c r="M419" s="2">
        <v>45155</v>
      </c>
      <c r="N419" s="2">
        <v>45317</v>
      </c>
      <c r="O419" s="2" t="s">
        <v>25</v>
      </c>
      <c r="P419" s="1" t="s">
        <v>835</v>
      </c>
      <c r="Q419" s="1" t="s">
        <v>35</v>
      </c>
      <c r="R419" s="7">
        <v>72247.7</v>
      </c>
      <c r="S419" s="7">
        <v>5160.55</v>
      </c>
      <c r="T419" s="7">
        <v>3142.14</v>
      </c>
      <c r="U419" s="7">
        <v>2018.41</v>
      </c>
      <c r="V419" s="7">
        <v>0</v>
      </c>
      <c r="W419" s="10">
        <v>201.49250000000001</v>
      </c>
      <c r="X419" s="10">
        <v>107.48090000000001</v>
      </c>
    </row>
    <row r="420" spans="1:24" x14ac:dyDescent="0.25">
      <c r="A420" t="s">
        <v>1574</v>
      </c>
      <c r="B420" t="s">
        <v>1575</v>
      </c>
      <c r="C420" s="1" t="s">
        <v>1576</v>
      </c>
      <c r="D420" s="1" t="s">
        <v>1646</v>
      </c>
      <c r="E420" s="1" t="s">
        <v>1577</v>
      </c>
      <c r="F420" s="1" t="s">
        <v>1696</v>
      </c>
      <c r="G420" s="1" t="s">
        <v>1585</v>
      </c>
      <c r="H420" s="1" t="s">
        <v>194</v>
      </c>
      <c r="I420" s="1" t="s">
        <v>22</v>
      </c>
      <c r="J420" s="1" t="s">
        <v>125</v>
      </c>
      <c r="K420" s="1" t="s">
        <v>124</v>
      </c>
      <c r="L420" s="1" t="s">
        <v>125</v>
      </c>
      <c r="M420" s="2">
        <v>45155</v>
      </c>
      <c r="N420" s="2" t="s">
        <v>25</v>
      </c>
      <c r="O420" s="2" t="s">
        <v>25</v>
      </c>
      <c r="P420" s="2" t="s">
        <v>25</v>
      </c>
      <c r="Q420" s="1" t="s">
        <v>26</v>
      </c>
      <c r="R420" s="7">
        <v>129905.02</v>
      </c>
      <c r="S420" s="7">
        <v>9278.93</v>
      </c>
      <c r="T420" s="7">
        <v>3366.99</v>
      </c>
      <c r="U420" s="7">
        <v>2162.85</v>
      </c>
      <c r="V420" s="7">
        <v>3749.09</v>
      </c>
      <c r="W420" s="10">
        <v>238.209</v>
      </c>
      <c r="X420" s="10">
        <v>125.3944</v>
      </c>
    </row>
    <row r="421" spans="1:24" x14ac:dyDescent="0.25">
      <c r="A421" t="s">
        <v>1578</v>
      </c>
      <c r="B421" t="s">
        <v>1579</v>
      </c>
      <c r="C421" s="1" t="s">
        <v>1580</v>
      </c>
      <c r="D421" s="1" t="s">
        <v>1647</v>
      </c>
      <c r="E421" s="1" t="s">
        <v>1581</v>
      </c>
      <c r="F421" s="1" t="s">
        <v>1696</v>
      </c>
      <c r="G421" s="1" t="s">
        <v>1585</v>
      </c>
      <c r="H421" s="1" t="s">
        <v>67</v>
      </c>
      <c r="I421" s="1" t="s">
        <v>22</v>
      </c>
      <c r="J421" s="1" t="s">
        <v>125</v>
      </c>
      <c r="K421" s="1" t="s">
        <v>124</v>
      </c>
      <c r="L421" s="1" t="s">
        <v>125</v>
      </c>
      <c r="M421" s="2">
        <v>45155</v>
      </c>
      <c r="N421" s="2" t="s">
        <v>25</v>
      </c>
      <c r="O421" s="2" t="s">
        <v>25</v>
      </c>
      <c r="P421" s="2" t="s">
        <v>25</v>
      </c>
      <c r="Q421" s="1" t="s">
        <v>26</v>
      </c>
      <c r="R421" s="7">
        <v>136351.46</v>
      </c>
      <c r="S421" s="7">
        <v>9739.39</v>
      </c>
      <c r="T421" s="7">
        <v>3366.99</v>
      </c>
      <c r="U421" s="7">
        <v>2162.85</v>
      </c>
      <c r="V421" s="7">
        <v>4209.55</v>
      </c>
      <c r="W421" s="10">
        <v>217.61189999999999</v>
      </c>
      <c r="X421" s="10">
        <v>154.05600000000001</v>
      </c>
    </row>
    <row r="422" spans="1:24" x14ac:dyDescent="0.25">
      <c r="A422" t="s">
        <v>847</v>
      </c>
      <c r="B422" t="s">
        <v>1582</v>
      </c>
      <c r="C422" s="1" t="s">
        <v>1583</v>
      </c>
      <c r="D422" s="1" t="s">
        <v>1646</v>
      </c>
      <c r="E422" s="1" t="s">
        <v>1584</v>
      </c>
      <c r="F422" s="1" t="s">
        <v>1696</v>
      </c>
      <c r="G422" s="1" t="s">
        <v>1585</v>
      </c>
      <c r="H422" s="1" t="s">
        <v>67</v>
      </c>
      <c r="I422" s="1" t="s">
        <v>22</v>
      </c>
      <c r="J422" s="1" t="s">
        <v>32</v>
      </c>
      <c r="K422" s="1" t="s">
        <v>33</v>
      </c>
      <c r="L422" s="1" t="s">
        <v>32</v>
      </c>
      <c r="M422" s="2">
        <v>45155</v>
      </c>
      <c r="N422" s="2" t="s">
        <v>25</v>
      </c>
      <c r="O422" s="2" t="s">
        <v>25</v>
      </c>
      <c r="P422" s="2" t="s">
        <v>25</v>
      </c>
      <c r="Q422" s="1" t="s">
        <v>26</v>
      </c>
      <c r="R422" s="7">
        <v>101392.76</v>
      </c>
      <c r="S422" s="7">
        <v>7242.34</v>
      </c>
      <c r="T422" s="7">
        <v>3366.99</v>
      </c>
      <c r="U422" s="7">
        <v>2162.85</v>
      </c>
      <c r="V422" s="7">
        <v>1712.5</v>
      </c>
      <c r="W422" s="10">
        <v>158.50749999999999</v>
      </c>
      <c r="X422" s="10">
        <v>180.92619999999999</v>
      </c>
    </row>
  </sheetData>
  <phoneticPr fontId="4" type="noConversion"/>
  <pageMargins left="0.75" right="0.75" top="1" bottom="1" header="0.5" footer="0.5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0F72-AB03-4C1A-B14A-6524AB3E64F1}">
  <dimension ref="A1:D422"/>
  <sheetViews>
    <sheetView topLeftCell="A387" workbookViewId="0">
      <selection activeCell="A2" sqref="A2:A422"/>
    </sheetView>
  </sheetViews>
  <sheetFormatPr baseColWidth="10" defaultRowHeight="15" x14ac:dyDescent="0.25"/>
  <cols>
    <col min="1" max="1" width="16.5703125" customWidth="1"/>
    <col min="2" max="2" width="41.5703125" bestFit="1" customWidth="1"/>
    <col min="3" max="3" width="39" bestFit="1" customWidth="1"/>
  </cols>
  <sheetData>
    <row r="1" spans="1:4" x14ac:dyDescent="0.25">
      <c r="A1" s="8" t="s">
        <v>2</v>
      </c>
      <c r="B1" s="8" t="s">
        <v>3</v>
      </c>
      <c r="C1" s="8" t="s">
        <v>6</v>
      </c>
      <c r="D1" s="8" t="s">
        <v>1597</v>
      </c>
    </row>
    <row r="2" spans="1:4" x14ac:dyDescent="0.25">
      <c r="A2" t="s">
        <v>19</v>
      </c>
      <c r="B2" t="s">
        <v>20</v>
      </c>
      <c r="C2" t="s">
        <v>23</v>
      </c>
      <c r="D2" t="s">
        <v>26</v>
      </c>
    </row>
    <row r="3" spans="1:4" x14ac:dyDescent="0.25">
      <c r="A3" t="s">
        <v>29</v>
      </c>
      <c r="B3" t="s">
        <v>30</v>
      </c>
      <c r="C3" t="s">
        <v>34</v>
      </c>
      <c r="D3" t="s">
        <v>35</v>
      </c>
    </row>
    <row r="4" spans="1:4" x14ac:dyDescent="0.25">
      <c r="A4" t="s">
        <v>38</v>
      </c>
      <c r="B4" t="s">
        <v>39</v>
      </c>
      <c r="C4" t="s">
        <v>41</v>
      </c>
      <c r="D4" t="s">
        <v>26</v>
      </c>
    </row>
    <row r="5" spans="1:4" x14ac:dyDescent="0.25">
      <c r="A5" t="s">
        <v>45</v>
      </c>
      <c r="B5" t="s">
        <v>46</v>
      </c>
      <c r="C5" t="s">
        <v>23</v>
      </c>
      <c r="D5" t="s">
        <v>26</v>
      </c>
    </row>
    <row r="6" spans="1:4" x14ac:dyDescent="0.25">
      <c r="A6" t="s">
        <v>49</v>
      </c>
      <c r="B6" t="s">
        <v>50</v>
      </c>
      <c r="C6" t="s">
        <v>32</v>
      </c>
      <c r="D6" t="s">
        <v>26</v>
      </c>
    </row>
    <row r="7" spans="1:4" x14ac:dyDescent="0.25">
      <c r="A7" t="s">
        <v>54</v>
      </c>
      <c r="B7" t="s">
        <v>55</v>
      </c>
      <c r="C7" t="s">
        <v>32</v>
      </c>
      <c r="D7" t="s">
        <v>26</v>
      </c>
    </row>
    <row r="8" spans="1:4" x14ac:dyDescent="0.25">
      <c r="A8" t="s">
        <v>59</v>
      </c>
      <c r="B8" t="s">
        <v>60</v>
      </c>
      <c r="C8" t="s">
        <v>62</v>
      </c>
      <c r="D8" t="s">
        <v>26</v>
      </c>
    </row>
    <row r="9" spans="1:4" x14ac:dyDescent="0.25">
      <c r="A9" t="s">
        <v>65</v>
      </c>
      <c r="B9" t="s">
        <v>66</v>
      </c>
      <c r="C9" t="s">
        <v>23</v>
      </c>
      <c r="D9" t="s">
        <v>26</v>
      </c>
    </row>
    <row r="10" spans="1:4" x14ac:dyDescent="0.25">
      <c r="A10" t="s">
        <v>70</v>
      </c>
      <c r="B10" t="s">
        <v>71</v>
      </c>
      <c r="C10" t="s">
        <v>41</v>
      </c>
      <c r="D10" t="s">
        <v>26</v>
      </c>
    </row>
    <row r="11" spans="1:4" x14ac:dyDescent="0.25">
      <c r="A11" t="s">
        <v>74</v>
      </c>
      <c r="B11" t="s">
        <v>75</v>
      </c>
      <c r="C11" t="s">
        <v>41</v>
      </c>
      <c r="D11" t="s">
        <v>26</v>
      </c>
    </row>
    <row r="12" spans="1:4" x14ac:dyDescent="0.25">
      <c r="A12" t="s">
        <v>78</v>
      </c>
      <c r="B12" t="s">
        <v>79</v>
      </c>
      <c r="C12" t="s">
        <v>80</v>
      </c>
      <c r="D12" t="s">
        <v>26</v>
      </c>
    </row>
    <row r="13" spans="1:4" x14ac:dyDescent="0.25">
      <c r="A13" t="s">
        <v>84</v>
      </c>
      <c r="B13" t="s">
        <v>85</v>
      </c>
      <c r="C13" t="s">
        <v>32</v>
      </c>
      <c r="D13" t="s">
        <v>35</v>
      </c>
    </row>
    <row r="14" spans="1:4" x14ac:dyDescent="0.25">
      <c r="A14" t="s">
        <v>88</v>
      </c>
      <c r="B14" t="s">
        <v>89</v>
      </c>
      <c r="C14" t="s">
        <v>41</v>
      </c>
      <c r="D14" t="s">
        <v>26</v>
      </c>
    </row>
    <row r="15" spans="1:4" x14ac:dyDescent="0.25">
      <c r="A15" t="s">
        <v>93</v>
      </c>
      <c r="B15" t="s">
        <v>94</v>
      </c>
      <c r="C15" t="s">
        <v>32</v>
      </c>
      <c r="D15" t="s">
        <v>35</v>
      </c>
    </row>
    <row r="16" spans="1:4" x14ac:dyDescent="0.25">
      <c r="A16" t="s">
        <v>98</v>
      </c>
      <c r="B16" t="s">
        <v>99</v>
      </c>
      <c r="C16" t="s">
        <v>32</v>
      </c>
      <c r="D16" t="s">
        <v>26</v>
      </c>
    </row>
    <row r="17" spans="1:4" x14ac:dyDescent="0.25">
      <c r="A17" t="s">
        <v>103</v>
      </c>
      <c r="B17" t="s">
        <v>104</v>
      </c>
      <c r="C17" t="s">
        <v>23</v>
      </c>
      <c r="D17" t="s">
        <v>26</v>
      </c>
    </row>
    <row r="18" spans="1:4" x14ac:dyDescent="0.25">
      <c r="A18" t="s">
        <v>106</v>
      </c>
      <c r="B18" t="s">
        <v>107</v>
      </c>
      <c r="C18" t="s">
        <v>23</v>
      </c>
      <c r="D18" t="s">
        <v>26</v>
      </c>
    </row>
    <row r="19" spans="1:4" x14ac:dyDescent="0.25">
      <c r="A19" t="s">
        <v>111</v>
      </c>
      <c r="B19" t="s">
        <v>112</v>
      </c>
      <c r="C19" t="s">
        <v>32</v>
      </c>
      <c r="D19" t="s">
        <v>26</v>
      </c>
    </row>
    <row r="20" spans="1:4" x14ac:dyDescent="0.25">
      <c r="A20" t="s">
        <v>115</v>
      </c>
      <c r="B20" t="s">
        <v>116</v>
      </c>
      <c r="C20" t="s">
        <v>32</v>
      </c>
      <c r="D20" t="s">
        <v>26</v>
      </c>
    </row>
    <row r="21" spans="1:4" x14ac:dyDescent="0.25">
      <c r="A21" t="s">
        <v>120</v>
      </c>
      <c r="B21" t="s">
        <v>121</v>
      </c>
      <c r="C21" t="s">
        <v>125</v>
      </c>
      <c r="D21" t="s">
        <v>26</v>
      </c>
    </row>
    <row r="22" spans="1:4" x14ac:dyDescent="0.25">
      <c r="A22" t="s">
        <v>128</v>
      </c>
      <c r="B22" t="s">
        <v>129</v>
      </c>
      <c r="C22" t="s">
        <v>23</v>
      </c>
      <c r="D22" t="s">
        <v>26</v>
      </c>
    </row>
    <row r="23" spans="1:4" x14ac:dyDescent="0.25">
      <c r="A23" t="s">
        <v>133</v>
      </c>
      <c r="B23" t="s">
        <v>134</v>
      </c>
      <c r="C23" t="s">
        <v>23</v>
      </c>
      <c r="D23" t="s">
        <v>26</v>
      </c>
    </row>
    <row r="24" spans="1:4" x14ac:dyDescent="0.25">
      <c r="A24" t="s">
        <v>137</v>
      </c>
      <c r="B24" t="s">
        <v>138</v>
      </c>
      <c r="C24" t="s">
        <v>23</v>
      </c>
      <c r="D24" t="s">
        <v>26</v>
      </c>
    </row>
    <row r="25" spans="1:4" x14ac:dyDescent="0.25">
      <c r="A25" t="s">
        <v>142</v>
      </c>
      <c r="B25" t="s">
        <v>143</v>
      </c>
      <c r="C25" t="s">
        <v>32</v>
      </c>
      <c r="D25" t="s">
        <v>26</v>
      </c>
    </row>
    <row r="26" spans="1:4" x14ac:dyDescent="0.25">
      <c r="A26" t="s">
        <v>147</v>
      </c>
      <c r="B26" t="s">
        <v>148</v>
      </c>
      <c r="C26" t="s">
        <v>123</v>
      </c>
      <c r="D26" t="s">
        <v>26</v>
      </c>
    </row>
    <row r="27" spans="1:4" x14ac:dyDescent="0.25">
      <c r="A27" t="s">
        <v>152</v>
      </c>
      <c r="B27" t="s">
        <v>153</v>
      </c>
      <c r="C27" t="s">
        <v>125</v>
      </c>
      <c r="D27" t="s">
        <v>26</v>
      </c>
    </row>
    <row r="28" spans="1:4" x14ac:dyDescent="0.25">
      <c r="A28" t="s">
        <v>156</v>
      </c>
      <c r="B28" t="s">
        <v>157</v>
      </c>
      <c r="C28" t="s">
        <v>32</v>
      </c>
      <c r="D28" t="s">
        <v>26</v>
      </c>
    </row>
    <row r="29" spans="1:4" x14ac:dyDescent="0.25">
      <c r="A29" t="s">
        <v>160</v>
      </c>
      <c r="B29" t="s">
        <v>161</v>
      </c>
      <c r="C29" t="s">
        <v>23</v>
      </c>
      <c r="D29" t="s">
        <v>35</v>
      </c>
    </row>
    <row r="30" spans="1:4" x14ac:dyDescent="0.25">
      <c r="A30" t="s">
        <v>164</v>
      </c>
      <c r="B30" t="s">
        <v>165</v>
      </c>
      <c r="C30" t="s">
        <v>32</v>
      </c>
      <c r="D30" t="s">
        <v>26</v>
      </c>
    </row>
    <row r="31" spans="1:4" x14ac:dyDescent="0.25">
      <c r="A31" t="s">
        <v>169</v>
      </c>
      <c r="B31" t="s">
        <v>170</v>
      </c>
      <c r="C31" t="s">
        <v>23</v>
      </c>
      <c r="D31" t="s">
        <v>26</v>
      </c>
    </row>
    <row r="32" spans="1:4" x14ac:dyDescent="0.25">
      <c r="A32" t="s">
        <v>173</v>
      </c>
      <c r="B32" t="s">
        <v>174</v>
      </c>
      <c r="C32" t="s">
        <v>32</v>
      </c>
      <c r="D32" t="s">
        <v>26</v>
      </c>
    </row>
    <row r="33" spans="1:4" x14ac:dyDescent="0.25">
      <c r="A33" t="s">
        <v>177</v>
      </c>
      <c r="B33" t="s">
        <v>178</v>
      </c>
      <c r="C33" t="s">
        <v>32</v>
      </c>
      <c r="D33" t="s">
        <v>26</v>
      </c>
    </row>
    <row r="34" spans="1:4" x14ac:dyDescent="0.25">
      <c r="A34" t="s">
        <v>182</v>
      </c>
      <c r="B34" t="s">
        <v>183</v>
      </c>
      <c r="C34" t="s">
        <v>23</v>
      </c>
      <c r="D34" t="s">
        <v>26</v>
      </c>
    </row>
    <row r="35" spans="1:4" x14ac:dyDescent="0.25">
      <c r="A35" t="s">
        <v>187</v>
      </c>
      <c r="B35" t="s">
        <v>188</v>
      </c>
      <c r="C35" t="s">
        <v>41</v>
      </c>
      <c r="D35" t="s">
        <v>26</v>
      </c>
    </row>
    <row r="36" spans="1:4" x14ac:dyDescent="0.25">
      <c r="A36" t="s">
        <v>192</v>
      </c>
      <c r="B36" t="s">
        <v>193</v>
      </c>
      <c r="C36" t="s">
        <v>32</v>
      </c>
      <c r="D36" t="s">
        <v>26</v>
      </c>
    </row>
    <row r="37" spans="1:4" x14ac:dyDescent="0.25">
      <c r="A37" t="s">
        <v>197</v>
      </c>
      <c r="B37" t="s">
        <v>198</v>
      </c>
      <c r="C37" t="s">
        <v>32</v>
      </c>
      <c r="D37" t="s">
        <v>26</v>
      </c>
    </row>
    <row r="38" spans="1:4" x14ac:dyDescent="0.25">
      <c r="A38" t="s">
        <v>202</v>
      </c>
      <c r="B38" t="s">
        <v>203</v>
      </c>
      <c r="C38" t="s">
        <v>41</v>
      </c>
      <c r="D38" t="s">
        <v>26</v>
      </c>
    </row>
    <row r="39" spans="1:4" x14ac:dyDescent="0.25">
      <c r="A39" t="s">
        <v>207</v>
      </c>
      <c r="B39" t="s">
        <v>208</v>
      </c>
      <c r="C39" t="s">
        <v>23</v>
      </c>
      <c r="D39" t="s">
        <v>26</v>
      </c>
    </row>
    <row r="40" spans="1:4" x14ac:dyDescent="0.25">
      <c r="A40" t="s">
        <v>211</v>
      </c>
      <c r="B40" t="s">
        <v>212</v>
      </c>
      <c r="C40" t="s">
        <v>32</v>
      </c>
      <c r="D40" t="s">
        <v>26</v>
      </c>
    </row>
    <row r="41" spans="1:4" x14ac:dyDescent="0.25">
      <c r="A41" t="s">
        <v>216</v>
      </c>
      <c r="B41" t="s">
        <v>217</v>
      </c>
      <c r="C41" t="s">
        <v>125</v>
      </c>
      <c r="D41" t="s">
        <v>26</v>
      </c>
    </row>
    <row r="42" spans="1:4" x14ac:dyDescent="0.25">
      <c r="A42" t="s">
        <v>220</v>
      </c>
      <c r="B42" t="s">
        <v>221</v>
      </c>
      <c r="C42" t="s">
        <v>23</v>
      </c>
      <c r="D42" t="s">
        <v>26</v>
      </c>
    </row>
    <row r="43" spans="1:4" x14ac:dyDescent="0.25">
      <c r="A43" t="s">
        <v>225</v>
      </c>
      <c r="B43" t="s">
        <v>226</v>
      </c>
      <c r="C43" t="s">
        <v>123</v>
      </c>
      <c r="D43" t="s">
        <v>35</v>
      </c>
    </row>
    <row r="44" spans="1:4" x14ac:dyDescent="0.25">
      <c r="A44" t="s">
        <v>230</v>
      </c>
      <c r="B44" t="s">
        <v>231</v>
      </c>
      <c r="C44" t="s">
        <v>32</v>
      </c>
      <c r="D44" t="s">
        <v>35</v>
      </c>
    </row>
    <row r="45" spans="1:4" x14ac:dyDescent="0.25">
      <c r="A45" t="s">
        <v>234</v>
      </c>
      <c r="B45" t="s">
        <v>235</v>
      </c>
      <c r="C45" t="s">
        <v>23</v>
      </c>
      <c r="D45" t="s">
        <v>26</v>
      </c>
    </row>
    <row r="46" spans="1:4" x14ac:dyDescent="0.25">
      <c r="A46" t="s">
        <v>238</v>
      </c>
      <c r="B46" t="s">
        <v>239</v>
      </c>
      <c r="C46" t="s">
        <v>23</v>
      </c>
      <c r="D46" t="s">
        <v>26</v>
      </c>
    </row>
    <row r="47" spans="1:4" x14ac:dyDescent="0.25">
      <c r="A47" t="s">
        <v>242</v>
      </c>
      <c r="B47" t="s">
        <v>243</v>
      </c>
      <c r="C47" t="s">
        <v>34</v>
      </c>
      <c r="D47" t="s">
        <v>26</v>
      </c>
    </row>
    <row r="48" spans="1:4" x14ac:dyDescent="0.25">
      <c r="A48" t="s">
        <v>248</v>
      </c>
      <c r="B48" t="s">
        <v>249</v>
      </c>
      <c r="C48" t="s">
        <v>23</v>
      </c>
      <c r="D48" t="s">
        <v>26</v>
      </c>
    </row>
    <row r="49" spans="1:4" x14ac:dyDescent="0.25">
      <c r="A49" t="s">
        <v>253</v>
      </c>
      <c r="B49" t="s">
        <v>254</v>
      </c>
      <c r="C49" t="s">
        <v>23</v>
      </c>
      <c r="D49" t="s">
        <v>26</v>
      </c>
    </row>
    <row r="50" spans="1:4" x14ac:dyDescent="0.25">
      <c r="A50" t="s">
        <v>257</v>
      </c>
      <c r="B50" t="s">
        <v>258</v>
      </c>
      <c r="C50" t="s">
        <v>23</v>
      </c>
      <c r="D50" t="s">
        <v>26</v>
      </c>
    </row>
    <row r="51" spans="1:4" x14ac:dyDescent="0.25">
      <c r="A51" t="s">
        <v>262</v>
      </c>
      <c r="B51" t="s">
        <v>263</v>
      </c>
      <c r="C51" t="s">
        <v>23</v>
      </c>
      <c r="D51" t="s">
        <v>26</v>
      </c>
    </row>
    <row r="52" spans="1:4" x14ac:dyDescent="0.25">
      <c r="A52" t="s">
        <v>267</v>
      </c>
      <c r="B52" t="s">
        <v>268</v>
      </c>
      <c r="C52" t="s">
        <v>32</v>
      </c>
      <c r="D52" t="s">
        <v>26</v>
      </c>
    </row>
    <row r="53" spans="1:4" x14ac:dyDescent="0.25">
      <c r="A53" t="s">
        <v>271</v>
      </c>
      <c r="B53" t="s">
        <v>272</v>
      </c>
      <c r="C53" t="s">
        <v>32</v>
      </c>
      <c r="D53" t="s">
        <v>26</v>
      </c>
    </row>
    <row r="54" spans="1:4" x14ac:dyDescent="0.25">
      <c r="A54" t="s">
        <v>275</v>
      </c>
      <c r="B54" t="s">
        <v>276</v>
      </c>
      <c r="C54" t="s">
        <v>125</v>
      </c>
      <c r="D54" t="s">
        <v>26</v>
      </c>
    </row>
    <row r="55" spans="1:4" x14ac:dyDescent="0.25">
      <c r="A55" t="s">
        <v>279</v>
      </c>
      <c r="B55" t="s">
        <v>280</v>
      </c>
      <c r="C55" t="s">
        <v>32</v>
      </c>
      <c r="D55" t="s">
        <v>26</v>
      </c>
    </row>
    <row r="56" spans="1:4" x14ac:dyDescent="0.25">
      <c r="A56" t="s">
        <v>283</v>
      </c>
      <c r="B56" t="s">
        <v>284</v>
      </c>
      <c r="C56" t="s">
        <v>23</v>
      </c>
      <c r="D56" t="s">
        <v>26</v>
      </c>
    </row>
    <row r="57" spans="1:4" x14ac:dyDescent="0.25">
      <c r="A57" t="s">
        <v>288</v>
      </c>
      <c r="B57" t="s">
        <v>289</v>
      </c>
      <c r="C57" t="s">
        <v>23</v>
      </c>
      <c r="D57" t="s">
        <v>26</v>
      </c>
    </row>
    <row r="58" spans="1:4" x14ac:dyDescent="0.25">
      <c r="A58" t="s">
        <v>292</v>
      </c>
      <c r="B58" t="s">
        <v>293</v>
      </c>
      <c r="C58" t="s">
        <v>23</v>
      </c>
      <c r="D58" t="s">
        <v>26</v>
      </c>
    </row>
    <row r="59" spans="1:4" x14ac:dyDescent="0.25">
      <c r="A59" t="s">
        <v>297</v>
      </c>
      <c r="B59" t="s">
        <v>298</v>
      </c>
      <c r="C59" t="s">
        <v>32</v>
      </c>
      <c r="D59" t="s">
        <v>26</v>
      </c>
    </row>
    <row r="60" spans="1:4" x14ac:dyDescent="0.25">
      <c r="A60" t="s">
        <v>301</v>
      </c>
      <c r="B60" t="s">
        <v>302</v>
      </c>
      <c r="C60" t="s">
        <v>303</v>
      </c>
      <c r="D60" t="s">
        <v>26</v>
      </c>
    </row>
    <row r="61" spans="1:4" x14ac:dyDescent="0.25">
      <c r="A61" t="s">
        <v>306</v>
      </c>
      <c r="B61" t="s">
        <v>307</v>
      </c>
      <c r="C61" t="s">
        <v>32</v>
      </c>
      <c r="D61" t="s">
        <v>35</v>
      </c>
    </row>
    <row r="62" spans="1:4" x14ac:dyDescent="0.25">
      <c r="A62" t="s">
        <v>310</v>
      </c>
      <c r="B62" t="s">
        <v>311</v>
      </c>
      <c r="C62" t="s">
        <v>32</v>
      </c>
      <c r="D62" t="s">
        <v>26</v>
      </c>
    </row>
    <row r="63" spans="1:4" x14ac:dyDescent="0.25">
      <c r="A63" t="s">
        <v>314</v>
      </c>
      <c r="B63" t="s">
        <v>315</v>
      </c>
      <c r="C63" t="s">
        <v>41</v>
      </c>
      <c r="D63" t="s">
        <v>26</v>
      </c>
    </row>
    <row r="64" spans="1:4" x14ac:dyDescent="0.25">
      <c r="A64" t="s">
        <v>318</v>
      </c>
      <c r="B64" t="s">
        <v>319</v>
      </c>
      <c r="C64" t="s">
        <v>32</v>
      </c>
      <c r="D64" t="s">
        <v>26</v>
      </c>
    </row>
    <row r="65" spans="1:4" x14ac:dyDescent="0.25">
      <c r="A65" t="s">
        <v>322</v>
      </c>
      <c r="B65" t="s">
        <v>323</v>
      </c>
      <c r="C65" t="s">
        <v>23</v>
      </c>
      <c r="D65" t="s">
        <v>26</v>
      </c>
    </row>
    <row r="66" spans="1:4" x14ac:dyDescent="0.25">
      <c r="A66" t="s">
        <v>327</v>
      </c>
      <c r="B66" t="s">
        <v>328</v>
      </c>
      <c r="C66" t="s">
        <v>32</v>
      </c>
      <c r="D66" t="s">
        <v>35</v>
      </c>
    </row>
    <row r="67" spans="1:4" x14ac:dyDescent="0.25">
      <c r="A67" t="s">
        <v>331</v>
      </c>
      <c r="B67" t="s">
        <v>332</v>
      </c>
      <c r="C67" t="s">
        <v>23</v>
      </c>
      <c r="D67" t="s">
        <v>26</v>
      </c>
    </row>
    <row r="68" spans="1:4" x14ac:dyDescent="0.25">
      <c r="A68" t="s">
        <v>335</v>
      </c>
      <c r="B68" t="s">
        <v>336</v>
      </c>
      <c r="C68" t="s">
        <v>23</v>
      </c>
      <c r="D68" t="s">
        <v>26</v>
      </c>
    </row>
    <row r="69" spans="1:4" x14ac:dyDescent="0.25">
      <c r="A69" t="s">
        <v>339</v>
      </c>
      <c r="B69" t="s">
        <v>340</v>
      </c>
      <c r="C69" t="s">
        <v>32</v>
      </c>
      <c r="D69" t="s">
        <v>35</v>
      </c>
    </row>
    <row r="70" spans="1:4" x14ac:dyDescent="0.25">
      <c r="A70" t="s">
        <v>343</v>
      </c>
      <c r="B70" t="s">
        <v>344</v>
      </c>
      <c r="C70" t="s">
        <v>32</v>
      </c>
      <c r="D70" t="s">
        <v>26</v>
      </c>
    </row>
    <row r="71" spans="1:4" x14ac:dyDescent="0.25">
      <c r="A71" t="s">
        <v>346</v>
      </c>
      <c r="B71" t="s">
        <v>347</v>
      </c>
      <c r="C71" t="s">
        <v>34</v>
      </c>
      <c r="D71" t="s">
        <v>26</v>
      </c>
    </row>
    <row r="72" spans="1:4" x14ac:dyDescent="0.25">
      <c r="A72" t="s">
        <v>351</v>
      </c>
      <c r="B72" t="s">
        <v>352</v>
      </c>
      <c r="C72" t="s">
        <v>23</v>
      </c>
      <c r="D72" t="s">
        <v>26</v>
      </c>
    </row>
    <row r="73" spans="1:4" x14ac:dyDescent="0.25">
      <c r="A73" t="s">
        <v>355</v>
      </c>
      <c r="B73" t="s">
        <v>356</v>
      </c>
      <c r="C73" t="s">
        <v>23</v>
      </c>
      <c r="D73" t="s">
        <v>26</v>
      </c>
    </row>
    <row r="74" spans="1:4" x14ac:dyDescent="0.25">
      <c r="A74" t="s">
        <v>359</v>
      </c>
      <c r="B74" t="s">
        <v>360</v>
      </c>
      <c r="C74" t="s">
        <v>32</v>
      </c>
      <c r="D74" t="s">
        <v>26</v>
      </c>
    </row>
    <row r="75" spans="1:4" x14ac:dyDescent="0.25">
      <c r="A75" t="s">
        <v>363</v>
      </c>
      <c r="B75" t="s">
        <v>364</v>
      </c>
      <c r="C75" t="s">
        <v>32</v>
      </c>
      <c r="D75" t="s">
        <v>35</v>
      </c>
    </row>
    <row r="76" spans="1:4" x14ac:dyDescent="0.25">
      <c r="A76" t="s">
        <v>367</v>
      </c>
      <c r="B76" t="s">
        <v>368</v>
      </c>
      <c r="C76" t="s">
        <v>303</v>
      </c>
      <c r="D76" t="s">
        <v>26</v>
      </c>
    </row>
    <row r="77" spans="1:4" x14ac:dyDescent="0.25">
      <c r="A77" t="s">
        <v>371</v>
      </c>
      <c r="B77" t="s">
        <v>372</v>
      </c>
      <c r="C77" t="s">
        <v>41</v>
      </c>
      <c r="D77" t="s">
        <v>26</v>
      </c>
    </row>
    <row r="78" spans="1:4" x14ac:dyDescent="0.25">
      <c r="A78" t="s">
        <v>375</v>
      </c>
      <c r="B78" t="s">
        <v>376</v>
      </c>
      <c r="C78" t="s">
        <v>23</v>
      </c>
      <c r="D78" t="s">
        <v>26</v>
      </c>
    </row>
    <row r="79" spans="1:4" x14ac:dyDescent="0.25">
      <c r="A79" t="s">
        <v>379</v>
      </c>
      <c r="B79" t="s">
        <v>380</v>
      </c>
      <c r="C79" t="s">
        <v>23</v>
      </c>
      <c r="D79" t="s">
        <v>26</v>
      </c>
    </row>
    <row r="80" spans="1:4" x14ac:dyDescent="0.25">
      <c r="A80" t="s">
        <v>384</v>
      </c>
      <c r="B80" t="s">
        <v>385</v>
      </c>
      <c r="C80" t="s">
        <v>32</v>
      </c>
      <c r="D80" t="s">
        <v>26</v>
      </c>
    </row>
    <row r="81" spans="1:4" x14ac:dyDescent="0.25">
      <c r="A81" t="s">
        <v>388</v>
      </c>
      <c r="B81" t="s">
        <v>389</v>
      </c>
      <c r="C81" t="s">
        <v>32</v>
      </c>
      <c r="D81" t="s">
        <v>26</v>
      </c>
    </row>
    <row r="82" spans="1:4" x14ac:dyDescent="0.25">
      <c r="A82" t="s">
        <v>391</v>
      </c>
      <c r="B82" t="s">
        <v>392</v>
      </c>
      <c r="C82" t="s">
        <v>23</v>
      </c>
      <c r="D82" t="s">
        <v>26</v>
      </c>
    </row>
    <row r="83" spans="1:4" x14ac:dyDescent="0.25">
      <c r="A83" t="s">
        <v>395</v>
      </c>
      <c r="B83" t="s">
        <v>396</v>
      </c>
      <c r="C83" t="s">
        <v>125</v>
      </c>
      <c r="D83" t="s">
        <v>26</v>
      </c>
    </row>
    <row r="84" spans="1:4" x14ac:dyDescent="0.25">
      <c r="A84" t="s">
        <v>399</v>
      </c>
      <c r="B84" t="s">
        <v>400</v>
      </c>
      <c r="C84" t="s">
        <v>23</v>
      </c>
      <c r="D84" t="s">
        <v>26</v>
      </c>
    </row>
    <row r="85" spans="1:4" x14ac:dyDescent="0.25">
      <c r="A85" t="s">
        <v>402</v>
      </c>
      <c r="B85" t="s">
        <v>403</v>
      </c>
      <c r="C85" t="s">
        <v>23</v>
      </c>
      <c r="D85" t="s">
        <v>26</v>
      </c>
    </row>
    <row r="86" spans="1:4" x14ac:dyDescent="0.25">
      <c r="A86" t="s">
        <v>406</v>
      </c>
      <c r="B86" t="s">
        <v>407</v>
      </c>
      <c r="C86" t="s">
        <v>32</v>
      </c>
      <c r="D86" t="s">
        <v>26</v>
      </c>
    </row>
    <row r="87" spans="1:4" x14ac:dyDescent="0.25">
      <c r="A87" t="s">
        <v>410</v>
      </c>
      <c r="B87" t="s">
        <v>411</v>
      </c>
      <c r="C87" t="s">
        <v>23</v>
      </c>
      <c r="D87" t="s">
        <v>26</v>
      </c>
    </row>
    <row r="88" spans="1:4" x14ac:dyDescent="0.25">
      <c r="A88" t="s">
        <v>414</v>
      </c>
      <c r="B88" t="s">
        <v>415</v>
      </c>
      <c r="C88" t="s">
        <v>32</v>
      </c>
      <c r="D88" t="s">
        <v>26</v>
      </c>
    </row>
    <row r="89" spans="1:4" x14ac:dyDescent="0.25">
      <c r="A89" t="s">
        <v>419</v>
      </c>
      <c r="B89" t="s">
        <v>420</v>
      </c>
      <c r="C89" t="s">
        <v>32</v>
      </c>
      <c r="D89" t="s">
        <v>26</v>
      </c>
    </row>
    <row r="90" spans="1:4" x14ac:dyDescent="0.25">
      <c r="A90" t="s">
        <v>423</v>
      </c>
      <c r="B90" t="s">
        <v>424</v>
      </c>
      <c r="C90" t="s">
        <v>303</v>
      </c>
      <c r="D90" t="s">
        <v>26</v>
      </c>
    </row>
    <row r="91" spans="1:4" x14ac:dyDescent="0.25">
      <c r="A91" t="s">
        <v>426</v>
      </c>
      <c r="B91" t="s">
        <v>427</v>
      </c>
      <c r="C91" t="s">
        <v>32</v>
      </c>
      <c r="D91" t="s">
        <v>26</v>
      </c>
    </row>
    <row r="92" spans="1:4" x14ac:dyDescent="0.25">
      <c r="A92" t="s">
        <v>431</v>
      </c>
      <c r="B92" t="s">
        <v>432</v>
      </c>
      <c r="C92" t="s">
        <v>23</v>
      </c>
      <c r="D92" t="s">
        <v>26</v>
      </c>
    </row>
    <row r="93" spans="1:4" x14ac:dyDescent="0.25">
      <c r="A93" t="s">
        <v>434</v>
      </c>
      <c r="B93" t="s">
        <v>435</v>
      </c>
      <c r="C93" t="s">
        <v>23</v>
      </c>
      <c r="D93" t="s">
        <v>26</v>
      </c>
    </row>
    <row r="94" spans="1:4" x14ac:dyDescent="0.25">
      <c r="A94" t="s">
        <v>438</v>
      </c>
      <c r="B94" t="s">
        <v>439</v>
      </c>
      <c r="C94" t="s">
        <v>23</v>
      </c>
      <c r="D94" t="s">
        <v>26</v>
      </c>
    </row>
    <row r="95" spans="1:4" x14ac:dyDescent="0.25">
      <c r="A95" t="s">
        <v>441</v>
      </c>
      <c r="B95" t="s">
        <v>442</v>
      </c>
      <c r="C95" t="s">
        <v>23</v>
      </c>
      <c r="D95" t="s">
        <v>35</v>
      </c>
    </row>
    <row r="96" spans="1:4" x14ac:dyDescent="0.25">
      <c r="A96" t="s">
        <v>445</v>
      </c>
      <c r="B96" t="s">
        <v>446</v>
      </c>
      <c r="C96" t="s">
        <v>32</v>
      </c>
      <c r="D96" t="s">
        <v>26</v>
      </c>
    </row>
    <row r="97" spans="1:4" x14ac:dyDescent="0.25">
      <c r="A97" t="s">
        <v>449</v>
      </c>
      <c r="B97" t="s">
        <v>450</v>
      </c>
      <c r="C97" t="s">
        <v>23</v>
      </c>
      <c r="D97" t="s">
        <v>26</v>
      </c>
    </row>
    <row r="98" spans="1:4" x14ac:dyDescent="0.25">
      <c r="A98" t="s">
        <v>453</v>
      </c>
      <c r="B98" t="s">
        <v>454</v>
      </c>
      <c r="C98" t="s">
        <v>23</v>
      </c>
      <c r="D98" t="s">
        <v>26</v>
      </c>
    </row>
    <row r="99" spans="1:4" x14ac:dyDescent="0.25">
      <c r="A99" t="s">
        <v>457</v>
      </c>
      <c r="B99" t="s">
        <v>458</v>
      </c>
      <c r="C99" t="s">
        <v>23</v>
      </c>
      <c r="D99" t="s">
        <v>26</v>
      </c>
    </row>
    <row r="100" spans="1:4" x14ac:dyDescent="0.25">
      <c r="A100" t="s">
        <v>460</v>
      </c>
      <c r="B100" t="s">
        <v>461</v>
      </c>
      <c r="C100" t="s">
        <v>41</v>
      </c>
      <c r="D100" t="s">
        <v>26</v>
      </c>
    </row>
    <row r="101" spans="1:4" x14ac:dyDescent="0.25">
      <c r="A101" t="s">
        <v>465</v>
      </c>
      <c r="B101" t="s">
        <v>466</v>
      </c>
      <c r="C101" t="s">
        <v>23</v>
      </c>
      <c r="D101" t="s">
        <v>26</v>
      </c>
    </row>
    <row r="102" spans="1:4" x14ac:dyDescent="0.25">
      <c r="A102" t="s">
        <v>469</v>
      </c>
      <c r="B102" t="s">
        <v>470</v>
      </c>
      <c r="C102" t="s">
        <v>23</v>
      </c>
      <c r="D102" t="s">
        <v>35</v>
      </c>
    </row>
    <row r="103" spans="1:4" x14ac:dyDescent="0.25">
      <c r="A103" t="s">
        <v>473</v>
      </c>
      <c r="B103" t="s">
        <v>474</v>
      </c>
      <c r="C103" t="s">
        <v>41</v>
      </c>
      <c r="D103" t="s">
        <v>26</v>
      </c>
    </row>
    <row r="104" spans="1:4" x14ac:dyDescent="0.25">
      <c r="A104" t="s">
        <v>477</v>
      </c>
      <c r="B104" t="s">
        <v>478</v>
      </c>
      <c r="C104" t="s">
        <v>23</v>
      </c>
      <c r="D104" t="s">
        <v>26</v>
      </c>
    </row>
    <row r="105" spans="1:4" x14ac:dyDescent="0.25">
      <c r="A105" t="s">
        <v>482</v>
      </c>
      <c r="B105" t="s">
        <v>483</v>
      </c>
      <c r="C105" t="s">
        <v>23</v>
      </c>
      <c r="D105" t="s">
        <v>26</v>
      </c>
    </row>
    <row r="106" spans="1:4" x14ac:dyDescent="0.25">
      <c r="A106" t="s">
        <v>485</v>
      </c>
      <c r="B106" t="s">
        <v>486</v>
      </c>
      <c r="C106" t="s">
        <v>32</v>
      </c>
      <c r="D106" t="s">
        <v>26</v>
      </c>
    </row>
    <row r="107" spans="1:4" x14ac:dyDescent="0.25">
      <c r="A107" t="s">
        <v>490</v>
      </c>
      <c r="B107" t="s">
        <v>491</v>
      </c>
      <c r="C107" t="s">
        <v>125</v>
      </c>
      <c r="D107" t="s">
        <v>26</v>
      </c>
    </row>
    <row r="108" spans="1:4" x14ac:dyDescent="0.25">
      <c r="A108" t="s">
        <v>494</v>
      </c>
      <c r="B108" t="s">
        <v>495</v>
      </c>
      <c r="C108" t="s">
        <v>32</v>
      </c>
      <c r="D108" t="s">
        <v>26</v>
      </c>
    </row>
    <row r="109" spans="1:4" x14ac:dyDescent="0.25">
      <c r="A109" t="s">
        <v>498</v>
      </c>
      <c r="B109" t="s">
        <v>499</v>
      </c>
      <c r="C109" t="s">
        <v>125</v>
      </c>
      <c r="D109" t="s">
        <v>35</v>
      </c>
    </row>
    <row r="110" spans="1:4" x14ac:dyDescent="0.25">
      <c r="A110" t="s">
        <v>502</v>
      </c>
      <c r="B110" t="s">
        <v>503</v>
      </c>
      <c r="C110" t="s">
        <v>62</v>
      </c>
      <c r="D110" t="s">
        <v>35</v>
      </c>
    </row>
    <row r="111" spans="1:4" x14ac:dyDescent="0.25">
      <c r="A111" t="s">
        <v>506</v>
      </c>
      <c r="B111" t="s">
        <v>507</v>
      </c>
      <c r="C111" t="s">
        <v>123</v>
      </c>
      <c r="D111" t="s">
        <v>26</v>
      </c>
    </row>
    <row r="112" spans="1:4" x14ac:dyDescent="0.25">
      <c r="A112" t="s">
        <v>509</v>
      </c>
      <c r="B112" t="s">
        <v>510</v>
      </c>
      <c r="C112" t="s">
        <v>23</v>
      </c>
      <c r="D112" t="s">
        <v>26</v>
      </c>
    </row>
    <row r="113" spans="1:4" x14ac:dyDescent="0.25">
      <c r="A113" t="s">
        <v>513</v>
      </c>
      <c r="B113" t="s">
        <v>514</v>
      </c>
      <c r="C113" t="s">
        <v>32</v>
      </c>
      <c r="D113" t="s">
        <v>26</v>
      </c>
    </row>
    <row r="114" spans="1:4" x14ac:dyDescent="0.25">
      <c r="A114" t="s">
        <v>517</v>
      </c>
      <c r="B114" t="s">
        <v>518</v>
      </c>
      <c r="C114" t="s">
        <v>32</v>
      </c>
      <c r="D114" t="s">
        <v>26</v>
      </c>
    </row>
    <row r="115" spans="1:4" x14ac:dyDescent="0.25">
      <c r="A115" t="s">
        <v>520</v>
      </c>
      <c r="B115" t="s">
        <v>521</v>
      </c>
      <c r="C115" t="s">
        <v>32</v>
      </c>
      <c r="D115" t="s">
        <v>26</v>
      </c>
    </row>
    <row r="116" spans="1:4" x14ac:dyDescent="0.25">
      <c r="A116" t="s">
        <v>524</v>
      </c>
      <c r="B116" t="s">
        <v>525</v>
      </c>
      <c r="C116" t="s">
        <v>23</v>
      </c>
      <c r="D116" t="s">
        <v>26</v>
      </c>
    </row>
    <row r="117" spans="1:4" x14ac:dyDescent="0.25">
      <c r="A117" t="s">
        <v>527</v>
      </c>
      <c r="B117" t="s">
        <v>528</v>
      </c>
      <c r="C117" t="s">
        <v>41</v>
      </c>
      <c r="D117" t="s">
        <v>26</v>
      </c>
    </row>
    <row r="118" spans="1:4" x14ac:dyDescent="0.25">
      <c r="A118" t="s">
        <v>531</v>
      </c>
      <c r="B118" t="s">
        <v>532</v>
      </c>
      <c r="C118" t="s">
        <v>23</v>
      </c>
      <c r="D118" t="s">
        <v>35</v>
      </c>
    </row>
    <row r="119" spans="1:4" x14ac:dyDescent="0.25">
      <c r="A119" t="s">
        <v>535</v>
      </c>
      <c r="B119" t="s">
        <v>536</v>
      </c>
      <c r="C119" t="s">
        <v>32</v>
      </c>
      <c r="D119" t="s">
        <v>35</v>
      </c>
    </row>
    <row r="120" spans="1:4" x14ac:dyDescent="0.25">
      <c r="A120" t="s">
        <v>538</v>
      </c>
      <c r="B120" t="s">
        <v>539</v>
      </c>
      <c r="C120" t="s">
        <v>41</v>
      </c>
      <c r="D120" t="s">
        <v>26</v>
      </c>
    </row>
    <row r="121" spans="1:4" x14ac:dyDescent="0.25">
      <c r="A121" t="s">
        <v>542</v>
      </c>
      <c r="B121" t="s">
        <v>543</v>
      </c>
      <c r="C121" t="s">
        <v>41</v>
      </c>
      <c r="D121" t="s">
        <v>26</v>
      </c>
    </row>
    <row r="122" spans="1:4" x14ac:dyDescent="0.25">
      <c r="A122" t="s">
        <v>545</v>
      </c>
      <c r="B122" t="s">
        <v>546</v>
      </c>
      <c r="C122" t="s">
        <v>41</v>
      </c>
      <c r="D122" t="s">
        <v>26</v>
      </c>
    </row>
    <row r="123" spans="1:4" x14ac:dyDescent="0.25">
      <c r="A123" t="s">
        <v>549</v>
      </c>
      <c r="B123" t="s">
        <v>550</v>
      </c>
      <c r="C123" t="s">
        <v>23</v>
      </c>
      <c r="D123" t="s">
        <v>26</v>
      </c>
    </row>
    <row r="124" spans="1:4" x14ac:dyDescent="0.25">
      <c r="A124" t="s">
        <v>553</v>
      </c>
      <c r="B124" t="s">
        <v>554</v>
      </c>
      <c r="C124" t="s">
        <v>23</v>
      </c>
      <c r="D124" t="s">
        <v>26</v>
      </c>
    </row>
    <row r="125" spans="1:4" x14ac:dyDescent="0.25">
      <c r="A125" t="s">
        <v>557</v>
      </c>
      <c r="B125" t="s">
        <v>558</v>
      </c>
      <c r="C125" t="s">
        <v>23</v>
      </c>
      <c r="D125" t="s">
        <v>26</v>
      </c>
    </row>
    <row r="126" spans="1:4" x14ac:dyDescent="0.25">
      <c r="A126" t="s">
        <v>561</v>
      </c>
      <c r="B126" t="s">
        <v>562</v>
      </c>
      <c r="C126" t="s">
        <v>80</v>
      </c>
      <c r="D126" t="s">
        <v>26</v>
      </c>
    </row>
    <row r="127" spans="1:4" x14ac:dyDescent="0.25">
      <c r="A127" t="s">
        <v>564</v>
      </c>
      <c r="B127" t="s">
        <v>565</v>
      </c>
      <c r="C127" t="s">
        <v>23</v>
      </c>
      <c r="D127" t="s">
        <v>26</v>
      </c>
    </row>
    <row r="128" spans="1:4" x14ac:dyDescent="0.25">
      <c r="A128" t="s">
        <v>568</v>
      </c>
      <c r="B128" t="s">
        <v>569</v>
      </c>
      <c r="C128" t="s">
        <v>23</v>
      </c>
      <c r="D128" t="s">
        <v>26</v>
      </c>
    </row>
    <row r="129" spans="1:4" x14ac:dyDescent="0.25">
      <c r="A129" t="s">
        <v>572</v>
      </c>
      <c r="B129" t="s">
        <v>573</v>
      </c>
      <c r="C129" t="s">
        <v>23</v>
      </c>
      <c r="D129" t="s">
        <v>26</v>
      </c>
    </row>
    <row r="130" spans="1:4" x14ac:dyDescent="0.25">
      <c r="A130" t="s">
        <v>575</v>
      </c>
      <c r="B130" t="s">
        <v>576</v>
      </c>
      <c r="C130" t="s">
        <v>23</v>
      </c>
      <c r="D130" t="s">
        <v>26</v>
      </c>
    </row>
    <row r="131" spans="1:4" x14ac:dyDescent="0.25">
      <c r="A131" t="s">
        <v>579</v>
      </c>
      <c r="B131" t="s">
        <v>580</v>
      </c>
      <c r="C131" t="s">
        <v>32</v>
      </c>
      <c r="D131" t="s">
        <v>35</v>
      </c>
    </row>
    <row r="132" spans="1:4" x14ac:dyDescent="0.25">
      <c r="A132" t="s">
        <v>583</v>
      </c>
      <c r="B132" t="s">
        <v>584</v>
      </c>
      <c r="C132" t="s">
        <v>32</v>
      </c>
      <c r="D132" t="s">
        <v>26</v>
      </c>
    </row>
    <row r="133" spans="1:4" x14ac:dyDescent="0.25">
      <c r="A133" t="s">
        <v>587</v>
      </c>
      <c r="B133" t="s">
        <v>588</v>
      </c>
      <c r="C133" t="s">
        <v>23</v>
      </c>
      <c r="D133" t="s">
        <v>26</v>
      </c>
    </row>
    <row r="134" spans="1:4" x14ac:dyDescent="0.25">
      <c r="A134" t="s">
        <v>591</v>
      </c>
      <c r="B134" t="s">
        <v>592</v>
      </c>
      <c r="C134" t="s">
        <v>41</v>
      </c>
      <c r="D134" t="s">
        <v>26</v>
      </c>
    </row>
    <row r="135" spans="1:4" x14ac:dyDescent="0.25">
      <c r="A135" t="s">
        <v>594</v>
      </c>
      <c r="B135" t="s">
        <v>595</v>
      </c>
      <c r="C135" t="s">
        <v>32</v>
      </c>
      <c r="D135" t="s">
        <v>26</v>
      </c>
    </row>
    <row r="136" spans="1:4" x14ac:dyDescent="0.25">
      <c r="A136" t="s">
        <v>598</v>
      </c>
      <c r="B136" t="s">
        <v>599</v>
      </c>
      <c r="C136" t="s">
        <v>32</v>
      </c>
      <c r="D136" t="s">
        <v>26</v>
      </c>
    </row>
    <row r="137" spans="1:4" x14ac:dyDescent="0.25">
      <c r="A137" t="s">
        <v>602</v>
      </c>
      <c r="B137" t="s">
        <v>603</v>
      </c>
      <c r="C137" t="s">
        <v>32</v>
      </c>
      <c r="D137" t="s">
        <v>26</v>
      </c>
    </row>
    <row r="138" spans="1:4" x14ac:dyDescent="0.25">
      <c r="A138" t="s">
        <v>606</v>
      </c>
      <c r="B138" t="s">
        <v>607</v>
      </c>
      <c r="C138" t="s">
        <v>23</v>
      </c>
      <c r="D138" t="s">
        <v>26</v>
      </c>
    </row>
    <row r="139" spans="1:4" x14ac:dyDescent="0.25">
      <c r="A139" t="s">
        <v>610</v>
      </c>
      <c r="B139" t="s">
        <v>611</v>
      </c>
      <c r="C139" t="s">
        <v>32</v>
      </c>
      <c r="D139" t="s">
        <v>26</v>
      </c>
    </row>
    <row r="140" spans="1:4" x14ac:dyDescent="0.25">
      <c r="A140" t="s">
        <v>614</v>
      </c>
      <c r="B140" t="s">
        <v>615</v>
      </c>
      <c r="C140" t="s">
        <v>23</v>
      </c>
      <c r="D140" t="s">
        <v>26</v>
      </c>
    </row>
    <row r="141" spans="1:4" x14ac:dyDescent="0.25">
      <c r="A141" t="s">
        <v>618</v>
      </c>
      <c r="B141" t="s">
        <v>619</v>
      </c>
      <c r="C141" t="s">
        <v>303</v>
      </c>
      <c r="D141" t="s">
        <v>26</v>
      </c>
    </row>
    <row r="142" spans="1:4" x14ac:dyDescent="0.25">
      <c r="A142" t="s">
        <v>623</v>
      </c>
      <c r="B142" t="s">
        <v>624</v>
      </c>
      <c r="C142" t="s">
        <v>125</v>
      </c>
      <c r="D142" t="s">
        <v>26</v>
      </c>
    </row>
    <row r="143" spans="1:4" x14ac:dyDescent="0.25">
      <c r="A143" t="s">
        <v>627</v>
      </c>
      <c r="B143" t="s">
        <v>628</v>
      </c>
      <c r="C143" t="s">
        <v>41</v>
      </c>
      <c r="D143" t="s">
        <v>26</v>
      </c>
    </row>
    <row r="144" spans="1:4" x14ac:dyDescent="0.25">
      <c r="A144" t="s">
        <v>630</v>
      </c>
      <c r="B144" t="s">
        <v>631</v>
      </c>
      <c r="C144" t="s">
        <v>23</v>
      </c>
      <c r="D144" t="s">
        <v>35</v>
      </c>
    </row>
    <row r="145" spans="1:4" x14ac:dyDescent="0.25">
      <c r="A145" t="s">
        <v>634</v>
      </c>
      <c r="B145" t="s">
        <v>635</v>
      </c>
      <c r="C145" t="s">
        <v>32</v>
      </c>
      <c r="D145" t="s">
        <v>35</v>
      </c>
    </row>
    <row r="146" spans="1:4" x14ac:dyDescent="0.25">
      <c r="A146" t="s">
        <v>638</v>
      </c>
      <c r="B146" t="s">
        <v>639</v>
      </c>
      <c r="C146" t="s">
        <v>32</v>
      </c>
      <c r="D146" t="s">
        <v>35</v>
      </c>
    </row>
    <row r="147" spans="1:4" x14ac:dyDescent="0.25">
      <c r="A147" t="s">
        <v>642</v>
      </c>
      <c r="B147" t="s">
        <v>643</v>
      </c>
      <c r="C147" t="s">
        <v>32</v>
      </c>
      <c r="D147" t="s">
        <v>26</v>
      </c>
    </row>
    <row r="148" spans="1:4" x14ac:dyDescent="0.25">
      <c r="A148" t="s">
        <v>646</v>
      </c>
      <c r="B148" t="s">
        <v>647</v>
      </c>
      <c r="C148" t="s">
        <v>23</v>
      </c>
      <c r="D148" t="s">
        <v>35</v>
      </c>
    </row>
    <row r="149" spans="1:4" x14ac:dyDescent="0.25">
      <c r="A149" t="s">
        <v>650</v>
      </c>
      <c r="B149" t="s">
        <v>651</v>
      </c>
      <c r="C149" t="s">
        <v>32</v>
      </c>
      <c r="D149" t="s">
        <v>35</v>
      </c>
    </row>
    <row r="150" spans="1:4" x14ac:dyDescent="0.25">
      <c r="A150" t="s">
        <v>654</v>
      </c>
      <c r="B150" t="s">
        <v>655</v>
      </c>
      <c r="C150" t="s">
        <v>32</v>
      </c>
      <c r="D150" t="s">
        <v>26</v>
      </c>
    </row>
    <row r="151" spans="1:4" x14ac:dyDescent="0.25">
      <c r="A151" t="s">
        <v>657</v>
      </c>
      <c r="B151" t="s">
        <v>658</v>
      </c>
      <c r="C151" t="s">
        <v>32</v>
      </c>
      <c r="D151" t="s">
        <v>26</v>
      </c>
    </row>
    <row r="152" spans="1:4" x14ac:dyDescent="0.25">
      <c r="A152" t="s">
        <v>661</v>
      </c>
      <c r="B152" t="s">
        <v>662</v>
      </c>
      <c r="C152" t="s">
        <v>125</v>
      </c>
      <c r="D152" t="s">
        <v>26</v>
      </c>
    </row>
    <row r="153" spans="1:4" x14ac:dyDescent="0.25">
      <c r="A153" t="s">
        <v>665</v>
      </c>
      <c r="B153" t="s">
        <v>666</v>
      </c>
      <c r="C153" t="s">
        <v>23</v>
      </c>
      <c r="D153" t="s">
        <v>35</v>
      </c>
    </row>
    <row r="154" spans="1:4" x14ac:dyDescent="0.25">
      <c r="A154" t="s">
        <v>669</v>
      </c>
      <c r="B154" t="s">
        <v>670</v>
      </c>
      <c r="C154" t="s">
        <v>23</v>
      </c>
      <c r="D154" t="s">
        <v>26</v>
      </c>
    </row>
    <row r="155" spans="1:4" x14ac:dyDescent="0.25">
      <c r="A155" t="s">
        <v>673</v>
      </c>
      <c r="B155" t="s">
        <v>674</v>
      </c>
      <c r="C155" t="s">
        <v>41</v>
      </c>
      <c r="D155" t="s">
        <v>26</v>
      </c>
    </row>
    <row r="156" spans="1:4" x14ac:dyDescent="0.25">
      <c r="A156" t="s">
        <v>676</v>
      </c>
      <c r="B156" t="s">
        <v>677</v>
      </c>
      <c r="C156" t="s">
        <v>32</v>
      </c>
      <c r="D156" t="s">
        <v>26</v>
      </c>
    </row>
    <row r="157" spans="1:4" x14ac:dyDescent="0.25">
      <c r="A157" t="s">
        <v>679</v>
      </c>
      <c r="B157" t="s">
        <v>680</v>
      </c>
      <c r="C157" t="s">
        <v>32</v>
      </c>
      <c r="D157" t="s">
        <v>35</v>
      </c>
    </row>
    <row r="158" spans="1:4" x14ac:dyDescent="0.25">
      <c r="A158" t="s">
        <v>683</v>
      </c>
      <c r="B158" t="s">
        <v>684</v>
      </c>
      <c r="C158" t="s">
        <v>123</v>
      </c>
      <c r="D158" t="s">
        <v>26</v>
      </c>
    </row>
    <row r="159" spans="1:4" x14ac:dyDescent="0.25">
      <c r="A159" t="s">
        <v>687</v>
      </c>
      <c r="B159" t="s">
        <v>688</v>
      </c>
      <c r="C159" t="s">
        <v>23</v>
      </c>
      <c r="D159" t="s">
        <v>26</v>
      </c>
    </row>
    <row r="160" spans="1:4" x14ac:dyDescent="0.25">
      <c r="A160" t="s">
        <v>691</v>
      </c>
      <c r="B160" t="s">
        <v>692</v>
      </c>
      <c r="C160" t="s">
        <v>32</v>
      </c>
      <c r="D160" t="s">
        <v>35</v>
      </c>
    </row>
    <row r="161" spans="1:4" x14ac:dyDescent="0.25">
      <c r="A161" t="s">
        <v>694</v>
      </c>
      <c r="B161" t="s">
        <v>695</v>
      </c>
      <c r="C161" t="s">
        <v>32</v>
      </c>
      <c r="D161" t="s">
        <v>35</v>
      </c>
    </row>
    <row r="162" spans="1:4" x14ac:dyDescent="0.25">
      <c r="A162" t="s">
        <v>698</v>
      </c>
      <c r="B162" t="s">
        <v>699</v>
      </c>
      <c r="C162" t="s">
        <v>125</v>
      </c>
      <c r="D162" t="s">
        <v>26</v>
      </c>
    </row>
    <row r="163" spans="1:4" x14ac:dyDescent="0.25">
      <c r="A163" t="s">
        <v>702</v>
      </c>
      <c r="B163" t="s">
        <v>703</v>
      </c>
      <c r="C163" t="s">
        <v>32</v>
      </c>
      <c r="D163" t="s">
        <v>26</v>
      </c>
    </row>
    <row r="164" spans="1:4" x14ac:dyDescent="0.25">
      <c r="A164" t="s">
        <v>706</v>
      </c>
      <c r="B164" t="s">
        <v>707</v>
      </c>
      <c r="C164" t="s">
        <v>32</v>
      </c>
      <c r="D164" t="s">
        <v>26</v>
      </c>
    </row>
    <row r="165" spans="1:4" x14ac:dyDescent="0.25">
      <c r="A165" t="s">
        <v>709</v>
      </c>
      <c r="B165" t="s">
        <v>710</v>
      </c>
      <c r="C165" t="s">
        <v>32</v>
      </c>
      <c r="D165" t="s">
        <v>26</v>
      </c>
    </row>
    <row r="166" spans="1:4" x14ac:dyDescent="0.25">
      <c r="A166" t="s">
        <v>712</v>
      </c>
      <c r="B166" t="s">
        <v>713</v>
      </c>
      <c r="C166" t="s">
        <v>41</v>
      </c>
      <c r="D166" t="s">
        <v>26</v>
      </c>
    </row>
    <row r="167" spans="1:4" x14ac:dyDescent="0.25">
      <c r="A167" t="s">
        <v>716</v>
      </c>
      <c r="B167" t="s">
        <v>717</v>
      </c>
      <c r="C167" t="s">
        <v>23</v>
      </c>
      <c r="D167" t="s">
        <v>26</v>
      </c>
    </row>
    <row r="168" spans="1:4" x14ac:dyDescent="0.25">
      <c r="A168" t="s">
        <v>719</v>
      </c>
      <c r="B168" t="s">
        <v>720</v>
      </c>
      <c r="C168" t="s">
        <v>32</v>
      </c>
      <c r="D168" t="s">
        <v>35</v>
      </c>
    </row>
    <row r="169" spans="1:4" x14ac:dyDescent="0.25">
      <c r="A169" t="s">
        <v>723</v>
      </c>
      <c r="B169" t="s">
        <v>724</v>
      </c>
      <c r="C169" t="s">
        <v>32</v>
      </c>
      <c r="D169" t="s">
        <v>26</v>
      </c>
    </row>
    <row r="170" spans="1:4" x14ac:dyDescent="0.25">
      <c r="A170" t="s">
        <v>727</v>
      </c>
      <c r="B170" t="s">
        <v>728</v>
      </c>
      <c r="C170" t="s">
        <v>23</v>
      </c>
      <c r="D170" t="s">
        <v>26</v>
      </c>
    </row>
    <row r="171" spans="1:4" x14ac:dyDescent="0.25">
      <c r="A171" t="s">
        <v>730</v>
      </c>
      <c r="B171" t="s">
        <v>731</v>
      </c>
      <c r="C171" t="s">
        <v>23</v>
      </c>
      <c r="D171" t="s">
        <v>26</v>
      </c>
    </row>
    <row r="172" spans="1:4" x14ac:dyDescent="0.25">
      <c r="A172" t="s">
        <v>734</v>
      </c>
      <c r="B172" t="s">
        <v>735</v>
      </c>
      <c r="C172" t="s">
        <v>32</v>
      </c>
      <c r="D172" t="s">
        <v>26</v>
      </c>
    </row>
    <row r="173" spans="1:4" x14ac:dyDescent="0.25">
      <c r="A173" t="s">
        <v>737</v>
      </c>
      <c r="B173" t="s">
        <v>738</v>
      </c>
      <c r="C173" t="s">
        <v>41</v>
      </c>
      <c r="D173" t="s">
        <v>26</v>
      </c>
    </row>
    <row r="174" spans="1:4" x14ac:dyDescent="0.25">
      <c r="A174" t="s">
        <v>741</v>
      </c>
      <c r="B174" t="s">
        <v>742</v>
      </c>
      <c r="C174" t="s">
        <v>23</v>
      </c>
      <c r="D174" t="s">
        <v>26</v>
      </c>
    </row>
    <row r="175" spans="1:4" x14ac:dyDescent="0.25">
      <c r="A175" t="s">
        <v>745</v>
      </c>
      <c r="B175" t="s">
        <v>746</v>
      </c>
      <c r="C175" t="s">
        <v>23</v>
      </c>
      <c r="D175" t="s">
        <v>35</v>
      </c>
    </row>
    <row r="176" spans="1:4" x14ac:dyDescent="0.25">
      <c r="A176" t="s">
        <v>749</v>
      </c>
      <c r="B176" t="s">
        <v>750</v>
      </c>
      <c r="C176" t="s">
        <v>23</v>
      </c>
      <c r="D176" t="s">
        <v>26</v>
      </c>
    </row>
    <row r="177" spans="1:4" x14ac:dyDescent="0.25">
      <c r="A177" t="s">
        <v>753</v>
      </c>
      <c r="B177" t="s">
        <v>754</v>
      </c>
      <c r="C177" t="s">
        <v>125</v>
      </c>
      <c r="D177" t="s">
        <v>26</v>
      </c>
    </row>
    <row r="178" spans="1:4" x14ac:dyDescent="0.25">
      <c r="A178" t="s">
        <v>757</v>
      </c>
      <c r="B178" t="s">
        <v>758</v>
      </c>
      <c r="C178" t="s">
        <v>32</v>
      </c>
      <c r="D178" t="s">
        <v>35</v>
      </c>
    </row>
    <row r="179" spans="1:4" x14ac:dyDescent="0.25">
      <c r="A179" t="s">
        <v>761</v>
      </c>
      <c r="B179" t="s">
        <v>762</v>
      </c>
      <c r="C179" t="s">
        <v>32</v>
      </c>
      <c r="D179" t="s">
        <v>26</v>
      </c>
    </row>
    <row r="180" spans="1:4" x14ac:dyDescent="0.25">
      <c r="A180" t="s">
        <v>766</v>
      </c>
      <c r="B180" t="s">
        <v>767</v>
      </c>
      <c r="C180" t="s">
        <v>80</v>
      </c>
      <c r="D180" t="s">
        <v>26</v>
      </c>
    </row>
    <row r="181" spans="1:4" x14ac:dyDescent="0.25">
      <c r="A181" t="s">
        <v>770</v>
      </c>
      <c r="B181" t="s">
        <v>771</v>
      </c>
      <c r="C181" t="s">
        <v>32</v>
      </c>
      <c r="D181" t="s">
        <v>35</v>
      </c>
    </row>
    <row r="182" spans="1:4" x14ac:dyDescent="0.25">
      <c r="A182" t="s">
        <v>774</v>
      </c>
      <c r="B182" t="s">
        <v>775</v>
      </c>
      <c r="C182" t="s">
        <v>32</v>
      </c>
      <c r="D182" t="s">
        <v>26</v>
      </c>
    </row>
    <row r="183" spans="1:4" x14ac:dyDescent="0.25">
      <c r="A183" t="s">
        <v>777</v>
      </c>
      <c r="B183" t="s">
        <v>778</v>
      </c>
      <c r="C183" t="s">
        <v>23</v>
      </c>
      <c r="D183" t="s">
        <v>26</v>
      </c>
    </row>
    <row r="184" spans="1:4" x14ac:dyDescent="0.25">
      <c r="A184" t="s">
        <v>781</v>
      </c>
      <c r="B184" t="s">
        <v>782</v>
      </c>
      <c r="C184" t="s">
        <v>32</v>
      </c>
      <c r="D184" t="s">
        <v>26</v>
      </c>
    </row>
    <row r="185" spans="1:4" x14ac:dyDescent="0.25">
      <c r="A185" t="s">
        <v>785</v>
      </c>
      <c r="B185" t="s">
        <v>786</v>
      </c>
      <c r="C185" t="s">
        <v>123</v>
      </c>
      <c r="D185" t="s">
        <v>26</v>
      </c>
    </row>
    <row r="186" spans="1:4" x14ac:dyDescent="0.25">
      <c r="A186" t="s">
        <v>788</v>
      </c>
      <c r="B186" t="s">
        <v>789</v>
      </c>
      <c r="C186" t="s">
        <v>125</v>
      </c>
      <c r="D186" t="s">
        <v>26</v>
      </c>
    </row>
    <row r="187" spans="1:4" x14ac:dyDescent="0.25">
      <c r="A187" t="s">
        <v>792</v>
      </c>
      <c r="B187" t="s">
        <v>793</v>
      </c>
      <c r="C187" t="s">
        <v>32</v>
      </c>
      <c r="D187" t="s">
        <v>26</v>
      </c>
    </row>
    <row r="188" spans="1:4" x14ac:dyDescent="0.25">
      <c r="A188" t="s">
        <v>796</v>
      </c>
      <c r="B188" t="s">
        <v>797</v>
      </c>
      <c r="C188" t="s">
        <v>32</v>
      </c>
      <c r="D188" t="s">
        <v>35</v>
      </c>
    </row>
    <row r="189" spans="1:4" x14ac:dyDescent="0.25">
      <c r="A189" t="s">
        <v>800</v>
      </c>
      <c r="B189" t="s">
        <v>801</v>
      </c>
      <c r="C189" t="s">
        <v>32</v>
      </c>
      <c r="D189" t="s">
        <v>26</v>
      </c>
    </row>
    <row r="190" spans="1:4" x14ac:dyDescent="0.25">
      <c r="A190" t="s">
        <v>804</v>
      </c>
      <c r="B190" t="s">
        <v>805</v>
      </c>
      <c r="C190" t="s">
        <v>62</v>
      </c>
      <c r="D190" t="s">
        <v>26</v>
      </c>
    </row>
    <row r="191" spans="1:4" x14ac:dyDescent="0.25">
      <c r="A191" t="s">
        <v>808</v>
      </c>
      <c r="B191" t="s">
        <v>809</v>
      </c>
      <c r="C191" t="s">
        <v>23</v>
      </c>
      <c r="D191" t="s">
        <v>26</v>
      </c>
    </row>
    <row r="192" spans="1:4" x14ac:dyDescent="0.25">
      <c r="A192" t="s">
        <v>811</v>
      </c>
      <c r="B192" t="s">
        <v>812</v>
      </c>
      <c r="C192" t="s">
        <v>23</v>
      </c>
      <c r="D192" t="s">
        <v>26</v>
      </c>
    </row>
    <row r="193" spans="1:4" x14ac:dyDescent="0.25">
      <c r="A193" t="s">
        <v>814</v>
      </c>
      <c r="B193" t="s">
        <v>815</v>
      </c>
      <c r="C193" t="s">
        <v>32</v>
      </c>
      <c r="D193" t="s">
        <v>35</v>
      </c>
    </row>
    <row r="194" spans="1:4" x14ac:dyDescent="0.25">
      <c r="A194" t="s">
        <v>817</v>
      </c>
      <c r="B194" t="s">
        <v>818</v>
      </c>
      <c r="C194" t="s">
        <v>125</v>
      </c>
      <c r="D194" t="s">
        <v>35</v>
      </c>
    </row>
    <row r="195" spans="1:4" x14ac:dyDescent="0.25">
      <c r="A195" t="s">
        <v>820</v>
      </c>
      <c r="B195" t="s">
        <v>821</v>
      </c>
      <c r="C195" t="s">
        <v>32</v>
      </c>
      <c r="D195" t="s">
        <v>35</v>
      </c>
    </row>
    <row r="196" spans="1:4" x14ac:dyDescent="0.25">
      <c r="A196" t="s">
        <v>824</v>
      </c>
      <c r="B196" t="s">
        <v>825</v>
      </c>
      <c r="C196" t="s">
        <v>32</v>
      </c>
      <c r="D196" t="s">
        <v>26</v>
      </c>
    </row>
    <row r="197" spans="1:4" x14ac:dyDescent="0.25">
      <c r="A197" t="s">
        <v>827</v>
      </c>
      <c r="B197" t="s">
        <v>828</v>
      </c>
      <c r="C197" t="s">
        <v>32</v>
      </c>
      <c r="D197" t="s">
        <v>26</v>
      </c>
    </row>
    <row r="198" spans="1:4" x14ac:dyDescent="0.25">
      <c r="A198" t="s">
        <v>830</v>
      </c>
      <c r="B198" t="s">
        <v>831</v>
      </c>
      <c r="C198" t="s">
        <v>41</v>
      </c>
      <c r="D198" t="s">
        <v>26</v>
      </c>
    </row>
    <row r="199" spans="1:4" x14ac:dyDescent="0.25">
      <c r="A199" t="s">
        <v>835</v>
      </c>
      <c r="B199" t="s">
        <v>836</v>
      </c>
      <c r="C199" t="s">
        <v>125</v>
      </c>
      <c r="D199" t="s">
        <v>26</v>
      </c>
    </row>
    <row r="200" spans="1:4" x14ac:dyDescent="0.25">
      <c r="A200" t="s">
        <v>838</v>
      </c>
      <c r="B200" t="s">
        <v>839</v>
      </c>
      <c r="C200" t="s">
        <v>32</v>
      </c>
      <c r="D200" t="s">
        <v>26</v>
      </c>
    </row>
    <row r="201" spans="1:4" x14ac:dyDescent="0.25">
      <c r="A201" t="s">
        <v>842</v>
      </c>
      <c r="B201" t="s">
        <v>843</v>
      </c>
      <c r="C201" t="s">
        <v>23</v>
      </c>
      <c r="D201" t="s">
        <v>26</v>
      </c>
    </row>
    <row r="202" spans="1:4" x14ac:dyDescent="0.25">
      <c r="A202" t="s">
        <v>845</v>
      </c>
      <c r="B202" t="s">
        <v>846</v>
      </c>
      <c r="C202" t="s">
        <v>32</v>
      </c>
      <c r="D202" t="s">
        <v>26</v>
      </c>
    </row>
    <row r="203" spans="1:4" x14ac:dyDescent="0.25">
      <c r="A203" t="s">
        <v>849</v>
      </c>
      <c r="B203" t="s">
        <v>850</v>
      </c>
      <c r="C203" t="s">
        <v>32</v>
      </c>
      <c r="D203" t="s">
        <v>26</v>
      </c>
    </row>
    <row r="204" spans="1:4" x14ac:dyDescent="0.25">
      <c r="A204" t="s">
        <v>852</v>
      </c>
      <c r="B204" t="s">
        <v>853</v>
      </c>
      <c r="C204" t="s">
        <v>32</v>
      </c>
      <c r="D204" t="s">
        <v>35</v>
      </c>
    </row>
    <row r="205" spans="1:4" x14ac:dyDescent="0.25">
      <c r="A205" t="s">
        <v>856</v>
      </c>
      <c r="B205" t="s">
        <v>857</v>
      </c>
      <c r="C205" t="s">
        <v>23</v>
      </c>
      <c r="D205" t="s">
        <v>26</v>
      </c>
    </row>
    <row r="206" spans="1:4" x14ac:dyDescent="0.25">
      <c r="A206" t="s">
        <v>859</v>
      </c>
      <c r="B206" t="s">
        <v>860</v>
      </c>
      <c r="C206" t="s">
        <v>303</v>
      </c>
      <c r="D206" t="s">
        <v>26</v>
      </c>
    </row>
    <row r="207" spans="1:4" x14ac:dyDescent="0.25">
      <c r="A207" t="s">
        <v>863</v>
      </c>
      <c r="B207" t="s">
        <v>864</v>
      </c>
      <c r="C207" t="s">
        <v>23</v>
      </c>
      <c r="D207" t="s">
        <v>26</v>
      </c>
    </row>
    <row r="208" spans="1:4" x14ac:dyDescent="0.25">
      <c r="A208" t="s">
        <v>866</v>
      </c>
      <c r="B208" t="s">
        <v>867</v>
      </c>
      <c r="C208" t="s">
        <v>32</v>
      </c>
      <c r="D208" t="s">
        <v>26</v>
      </c>
    </row>
    <row r="209" spans="1:4" x14ac:dyDescent="0.25">
      <c r="A209" t="s">
        <v>870</v>
      </c>
      <c r="B209" t="s">
        <v>871</v>
      </c>
      <c r="C209" t="s">
        <v>23</v>
      </c>
      <c r="D209" t="s">
        <v>26</v>
      </c>
    </row>
    <row r="210" spans="1:4" x14ac:dyDescent="0.25">
      <c r="A210" t="s">
        <v>875</v>
      </c>
      <c r="B210" t="s">
        <v>876</v>
      </c>
      <c r="C210" t="s">
        <v>23</v>
      </c>
      <c r="D210" t="s">
        <v>26</v>
      </c>
    </row>
    <row r="211" spans="1:4" x14ac:dyDescent="0.25">
      <c r="A211" t="s">
        <v>879</v>
      </c>
      <c r="B211" t="s">
        <v>880</v>
      </c>
      <c r="C211" t="s">
        <v>23</v>
      </c>
      <c r="D211" t="s">
        <v>35</v>
      </c>
    </row>
    <row r="212" spans="1:4" x14ac:dyDescent="0.25">
      <c r="A212" t="s">
        <v>882</v>
      </c>
      <c r="B212" t="s">
        <v>883</v>
      </c>
      <c r="C212" t="s">
        <v>23</v>
      </c>
      <c r="D212" t="s">
        <v>26</v>
      </c>
    </row>
    <row r="213" spans="1:4" x14ac:dyDescent="0.25">
      <c r="A213" t="s">
        <v>885</v>
      </c>
      <c r="B213" t="s">
        <v>886</v>
      </c>
      <c r="C213" t="s">
        <v>41</v>
      </c>
      <c r="D213" t="s">
        <v>26</v>
      </c>
    </row>
    <row r="214" spans="1:4" x14ac:dyDescent="0.25">
      <c r="A214" t="s">
        <v>889</v>
      </c>
      <c r="B214" t="s">
        <v>890</v>
      </c>
      <c r="C214" t="s">
        <v>32</v>
      </c>
      <c r="D214" t="s">
        <v>26</v>
      </c>
    </row>
    <row r="215" spans="1:4" x14ac:dyDescent="0.25">
      <c r="A215" t="s">
        <v>893</v>
      </c>
      <c r="B215" t="s">
        <v>894</v>
      </c>
      <c r="C215" t="s">
        <v>23</v>
      </c>
      <c r="D215" t="s">
        <v>26</v>
      </c>
    </row>
    <row r="216" spans="1:4" x14ac:dyDescent="0.25">
      <c r="A216" t="s">
        <v>897</v>
      </c>
      <c r="B216" t="s">
        <v>898</v>
      </c>
      <c r="C216" t="s">
        <v>23</v>
      </c>
      <c r="D216" t="s">
        <v>26</v>
      </c>
    </row>
    <row r="217" spans="1:4" x14ac:dyDescent="0.25">
      <c r="A217" t="s">
        <v>901</v>
      </c>
      <c r="B217" t="s">
        <v>902</v>
      </c>
      <c r="C217" t="s">
        <v>32</v>
      </c>
      <c r="D217" t="s">
        <v>26</v>
      </c>
    </row>
    <row r="218" spans="1:4" x14ac:dyDescent="0.25">
      <c r="A218" t="s">
        <v>905</v>
      </c>
      <c r="B218" t="s">
        <v>906</v>
      </c>
      <c r="C218" t="s">
        <v>32</v>
      </c>
      <c r="D218" t="s">
        <v>26</v>
      </c>
    </row>
    <row r="219" spans="1:4" x14ac:dyDescent="0.25">
      <c r="A219" t="s">
        <v>908</v>
      </c>
      <c r="B219" t="s">
        <v>909</v>
      </c>
      <c r="C219" t="s">
        <v>125</v>
      </c>
      <c r="D219" t="s">
        <v>26</v>
      </c>
    </row>
    <row r="220" spans="1:4" x14ac:dyDescent="0.25">
      <c r="A220" t="s">
        <v>912</v>
      </c>
      <c r="B220" t="s">
        <v>913</v>
      </c>
      <c r="C220" t="s">
        <v>125</v>
      </c>
      <c r="D220" t="s">
        <v>26</v>
      </c>
    </row>
    <row r="221" spans="1:4" x14ac:dyDescent="0.25">
      <c r="A221" t="s">
        <v>915</v>
      </c>
      <c r="B221" t="s">
        <v>916</v>
      </c>
      <c r="C221" t="s">
        <v>23</v>
      </c>
      <c r="D221" t="s">
        <v>26</v>
      </c>
    </row>
    <row r="222" spans="1:4" x14ac:dyDescent="0.25">
      <c r="A222" t="s">
        <v>919</v>
      </c>
      <c r="B222" t="s">
        <v>920</v>
      </c>
      <c r="C222" t="s">
        <v>125</v>
      </c>
      <c r="D222" t="s">
        <v>26</v>
      </c>
    </row>
    <row r="223" spans="1:4" x14ac:dyDescent="0.25">
      <c r="A223" t="s">
        <v>922</v>
      </c>
      <c r="B223" t="s">
        <v>923</v>
      </c>
      <c r="C223" t="s">
        <v>23</v>
      </c>
      <c r="D223" t="s">
        <v>26</v>
      </c>
    </row>
    <row r="224" spans="1:4" x14ac:dyDescent="0.25">
      <c r="A224" t="s">
        <v>925</v>
      </c>
      <c r="B224" t="s">
        <v>926</v>
      </c>
      <c r="C224" t="s">
        <v>32</v>
      </c>
      <c r="D224" t="s">
        <v>26</v>
      </c>
    </row>
    <row r="225" spans="1:4" x14ac:dyDescent="0.25">
      <c r="A225" t="s">
        <v>929</v>
      </c>
      <c r="B225" t="s">
        <v>930</v>
      </c>
      <c r="C225" t="s">
        <v>32</v>
      </c>
      <c r="D225" t="s">
        <v>26</v>
      </c>
    </row>
    <row r="226" spans="1:4" x14ac:dyDescent="0.25">
      <c r="A226" t="s">
        <v>933</v>
      </c>
      <c r="B226" t="s">
        <v>934</v>
      </c>
      <c r="C226" t="s">
        <v>32</v>
      </c>
      <c r="D226" t="s">
        <v>26</v>
      </c>
    </row>
    <row r="227" spans="1:4" x14ac:dyDescent="0.25">
      <c r="A227" t="s">
        <v>937</v>
      </c>
      <c r="B227" t="s">
        <v>938</v>
      </c>
      <c r="C227" t="s">
        <v>32</v>
      </c>
      <c r="D227" t="s">
        <v>35</v>
      </c>
    </row>
    <row r="228" spans="1:4" x14ac:dyDescent="0.25">
      <c r="A228" t="s">
        <v>941</v>
      </c>
      <c r="B228" t="s">
        <v>942</v>
      </c>
      <c r="C228" t="s">
        <v>80</v>
      </c>
      <c r="D228" t="s">
        <v>26</v>
      </c>
    </row>
    <row r="229" spans="1:4" x14ac:dyDescent="0.25">
      <c r="A229" t="s">
        <v>944</v>
      </c>
      <c r="B229" t="s">
        <v>945</v>
      </c>
      <c r="C229" t="s">
        <v>32</v>
      </c>
      <c r="D229" t="s">
        <v>26</v>
      </c>
    </row>
    <row r="230" spans="1:4" x14ac:dyDescent="0.25">
      <c r="A230" t="s">
        <v>948</v>
      </c>
      <c r="B230" t="s">
        <v>949</v>
      </c>
      <c r="C230" t="s">
        <v>32</v>
      </c>
      <c r="D230" t="s">
        <v>26</v>
      </c>
    </row>
    <row r="231" spans="1:4" x14ac:dyDescent="0.25">
      <c r="A231" t="s">
        <v>952</v>
      </c>
      <c r="B231" t="s">
        <v>953</v>
      </c>
      <c r="C231" t="s">
        <v>41</v>
      </c>
      <c r="D231" t="s">
        <v>26</v>
      </c>
    </row>
    <row r="232" spans="1:4" x14ac:dyDescent="0.25">
      <c r="A232" t="s">
        <v>955</v>
      </c>
      <c r="B232" t="s">
        <v>956</v>
      </c>
      <c r="C232" t="s">
        <v>23</v>
      </c>
      <c r="D232" t="s">
        <v>26</v>
      </c>
    </row>
    <row r="233" spans="1:4" x14ac:dyDescent="0.25">
      <c r="A233" t="s">
        <v>959</v>
      </c>
      <c r="B233" t="s">
        <v>960</v>
      </c>
      <c r="C233" t="s">
        <v>32</v>
      </c>
      <c r="D233" t="s">
        <v>26</v>
      </c>
    </row>
    <row r="234" spans="1:4" x14ac:dyDescent="0.25">
      <c r="A234" t="s">
        <v>963</v>
      </c>
      <c r="B234" t="s">
        <v>964</v>
      </c>
      <c r="C234" t="s">
        <v>41</v>
      </c>
      <c r="D234" t="s">
        <v>26</v>
      </c>
    </row>
    <row r="235" spans="1:4" x14ac:dyDescent="0.25">
      <c r="A235" t="s">
        <v>967</v>
      </c>
      <c r="B235" t="s">
        <v>968</v>
      </c>
      <c r="C235" t="s">
        <v>32</v>
      </c>
      <c r="D235" t="s">
        <v>26</v>
      </c>
    </row>
    <row r="236" spans="1:4" x14ac:dyDescent="0.25">
      <c r="A236" t="s">
        <v>970</v>
      </c>
      <c r="B236" t="s">
        <v>971</v>
      </c>
      <c r="C236" t="s">
        <v>23</v>
      </c>
      <c r="D236" t="s">
        <v>26</v>
      </c>
    </row>
    <row r="237" spans="1:4" x14ac:dyDescent="0.25">
      <c r="A237" t="s">
        <v>974</v>
      </c>
      <c r="B237" t="s">
        <v>975</v>
      </c>
      <c r="C237" t="s">
        <v>23</v>
      </c>
      <c r="D237" t="s">
        <v>26</v>
      </c>
    </row>
    <row r="238" spans="1:4" x14ac:dyDescent="0.25">
      <c r="A238" t="s">
        <v>978</v>
      </c>
      <c r="B238" t="s">
        <v>979</v>
      </c>
      <c r="C238" t="s">
        <v>34</v>
      </c>
      <c r="D238" t="s">
        <v>26</v>
      </c>
    </row>
    <row r="239" spans="1:4" x14ac:dyDescent="0.25">
      <c r="A239" t="s">
        <v>982</v>
      </c>
      <c r="B239" t="s">
        <v>983</v>
      </c>
      <c r="C239" t="s">
        <v>32</v>
      </c>
      <c r="D239" t="s">
        <v>26</v>
      </c>
    </row>
    <row r="240" spans="1:4" x14ac:dyDescent="0.25">
      <c r="A240" t="s">
        <v>985</v>
      </c>
      <c r="B240" t="s">
        <v>986</v>
      </c>
      <c r="C240" t="s">
        <v>32</v>
      </c>
      <c r="D240" t="s">
        <v>35</v>
      </c>
    </row>
    <row r="241" spans="1:4" x14ac:dyDescent="0.25">
      <c r="A241" t="s">
        <v>989</v>
      </c>
      <c r="B241" t="s">
        <v>990</v>
      </c>
      <c r="C241" t="s">
        <v>23</v>
      </c>
      <c r="D241" t="s">
        <v>26</v>
      </c>
    </row>
    <row r="242" spans="1:4" x14ac:dyDescent="0.25">
      <c r="A242" t="s">
        <v>993</v>
      </c>
      <c r="B242" t="s">
        <v>994</v>
      </c>
      <c r="C242" t="s">
        <v>23</v>
      </c>
      <c r="D242" t="s">
        <v>26</v>
      </c>
    </row>
    <row r="243" spans="1:4" x14ac:dyDescent="0.25">
      <c r="A243" t="s">
        <v>997</v>
      </c>
      <c r="B243" t="s">
        <v>998</v>
      </c>
      <c r="C243" t="s">
        <v>32</v>
      </c>
      <c r="D243" t="s">
        <v>26</v>
      </c>
    </row>
    <row r="244" spans="1:4" x14ac:dyDescent="0.25">
      <c r="A244" t="s">
        <v>1001</v>
      </c>
      <c r="B244" t="s">
        <v>1002</v>
      </c>
      <c r="C244" t="s">
        <v>32</v>
      </c>
      <c r="D244" t="s">
        <v>26</v>
      </c>
    </row>
    <row r="245" spans="1:4" x14ac:dyDescent="0.25">
      <c r="A245" t="s">
        <v>1004</v>
      </c>
      <c r="B245" t="s">
        <v>1005</v>
      </c>
      <c r="C245" t="s">
        <v>23</v>
      </c>
      <c r="D245" t="s">
        <v>26</v>
      </c>
    </row>
    <row r="246" spans="1:4" x14ac:dyDescent="0.25">
      <c r="A246" t="s">
        <v>1008</v>
      </c>
      <c r="B246" t="s">
        <v>1009</v>
      </c>
      <c r="C246" t="s">
        <v>23</v>
      </c>
      <c r="D246" t="s">
        <v>26</v>
      </c>
    </row>
    <row r="247" spans="1:4" x14ac:dyDescent="0.25">
      <c r="A247" t="s">
        <v>1012</v>
      </c>
      <c r="B247" t="s">
        <v>1013</v>
      </c>
      <c r="C247" t="s">
        <v>32</v>
      </c>
      <c r="D247" t="s">
        <v>26</v>
      </c>
    </row>
    <row r="248" spans="1:4" x14ac:dyDescent="0.25">
      <c r="A248" t="s">
        <v>1016</v>
      </c>
      <c r="B248" t="s">
        <v>1017</v>
      </c>
      <c r="C248" t="s">
        <v>32</v>
      </c>
      <c r="D248" t="s">
        <v>35</v>
      </c>
    </row>
    <row r="249" spans="1:4" x14ac:dyDescent="0.25">
      <c r="A249" t="s">
        <v>1019</v>
      </c>
      <c r="B249" t="s">
        <v>1020</v>
      </c>
      <c r="C249" t="s">
        <v>23</v>
      </c>
      <c r="D249" t="s">
        <v>26</v>
      </c>
    </row>
    <row r="250" spans="1:4" x14ac:dyDescent="0.25">
      <c r="A250" t="s">
        <v>1023</v>
      </c>
      <c r="B250" t="s">
        <v>1024</v>
      </c>
      <c r="C250" t="s">
        <v>32</v>
      </c>
      <c r="D250" t="s">
        <v>26</v>
      </c>
    </row>
    <row r="251" spans="1:4" x14ac:dyDescent="0.25">
      <c r="A251" t="s">
        <v>1026</v>
      </c>
      <c r="B251" t="s">
        <v>1027</v>
      </c>
      <c r="C251" t="s">
        <v>23</v>
      </c>
      <c r="D251" t="s">
        <v>26</v>
      </c>
    </row>
    <row r="252" spans="1:4" x14ac:dyDescent="0.25">
      <c r="A252" t="s">
        <v>1029</v>
      </c>
      <c r="B252" t="s">
        <v>1030</v>
      </c>
      <c r="C252" t="s">
        <v>23</v>
      </c>
      <c r="D252" t="s">
        <v>26</v>
      </c>
    </row>
    <row r="253" spans="1:4" x14ac:dyDescent="0.25">
      <c r="A253" t="s">
        <v>1033</v>
      </c>
      <c r="B253" t="s">
        <v>1034</v>
      </c>
      <c r="C253" t="s">
        <v>23</v>
      </c>
      <c r="D253" t="s">
        <v>26</v>
      </c>
    </row>
    <row r="254" spans="1:4" x14ac:dyDescent="0.25">
      <c r="A254" t="s">
        <v>1037</v>
      </c>
      <c r="B254" t="s">
        <v>1038</v>
      </c>
      <c r="C254" t="s">
        <v>23</v>
      </c>
      <c r="D254" t="s">
        <v>26</v>
      </c>
    </row>
    <row r="255" spans="1:4" x14ac:dyDescent="0.25">
      <c r="A255" t="s">
        <v>1040</v>
      </c>
      <c r="B255" t="s">
        <v>1041</v>
      </c>
      <c r="C255" t="s">
        <v>32</v>
      </c>
      <c r="D255" t="s">
        <v>26</v>
      </c>
    </row>
    <row r="256" spans="1:4" x14ac:dyDescent="0.25">
      <c r="A256" t="s">
        <v>1043</v>
      </c>
      <c r="B256" t="s">
        <v>1044</v>
      </c>
      <c r="C256" t="s">
        <v>32</v>
      </c>
      <c r="D256" t="s">
        <v>26</v>
      </c>
    </row>
    <row r="257" spans="1:4" x14ac:dyDescent="0.25">
      <c r="A257" t="s">
        <v>1046</v>
      </c>
      <c r="B257" t="s">
        <v>1047</v>
      </c>
      <c r="C257" t="s">
        <v>23</v>
      </c>
      <c r="D257" t="s">
        <v>26</v>
      </c>
    </row>
    <row r="258" spans="1:4" x14ac:dyDescent="0.25">
      <c r="A258" t="s">
        <v>1049</v>
      </c>
      <c r="B258" t="s">
        <v>1050</v>
      </c>
      <c r="C258" t="s">
        <v>23</v>
      </c>
      <c r="D258" t="s">
        <v>26</v>
      </c>
    </row>
    <row r="259" spans="1:4" x14ac:dyDescent="0.25">
      <c r="A259" t="s">
        <v>1053</v>
      </c>
      <c r="B259" t="s">
        <v>1054</v>
      </c>
      <c r="C259" t="s">
        <v>303</v>
      </c>
      <c r="D259" t="s">
        <v>26</v>
      </c>
    </row>
    <row r="260" spans="1:4" x14ac:dyDescent="0.25">
      <c r="A260" t="s">
        <v>1056</v>
      </c>
      <c r="B260" t="s">
        <v>1057</v>
      </c>
      <c r="C260" t="s">
        <v>23</v>
      </c>
      <c r="D260" t="s">
        <v>26</v>
      </c>
    </row>
    <row r="261" spans="1:4" x14ac:dyDescent="0.25">
      <c r="A261" t="s">
        <v>1059</v>
      </c>
      <c r="B261" t="s">
        <v>1060</v>
      </c>
      <c r="C261" t="s">
        <v>23</v>
      </c>
      <c r="D261" t="s">
        <v>26</v>
      </c>
    </row>
    <row r="262" spans="1:4" x14ac:dyDescent="0.25">
      <c r="A262" t="s">
        <v>1062</v>
      </c>
      <c r="B262" t="s">
        <v>1063</v>
      </c>
      <c r="C262" t="s">
        <v>23</v>
      </c>
      <c r="D262" t="s">
        <v>35</v>
      </c>
    </row>
    <row r="263" spans="1:4" x14ac:dyDescent="0.25">
      <c r="A263" t="s">
        <v>1066</v>
      </c>
      <c r="B263" t="s">
        <v>1067</v>
      </c>
      <c r="C263" t="s">
        <v>23</v>
      </c>
      <c r="D263" t="s">
        <v>26</v>
      </c>
    </row>
    <row r="264" spans="1:4" x14ac:dyDescent="0.25">
      <c r="A264" t="s">
        <v>1070</v>
      </c>
      <c r="B264" t="s">
        <v>1071</v>
      </c>
      <c r="C264" t="s">
        <v>125</v>
      </c>
      <c r="D264" t="s">
        <v>26</v>
      </c>
    </row>
    <row r="265" spans="1:4" x14ac:dyDescent="0.25">
      <c r="A265" t="s">
        <v>1074</v>
      </c>
      <c r="B265" t="s">
        <v>1075</v>
      </c>
      <c r="C265" t="s">
        <v>23</v>
      </c>
      <c r="D265" t="s">
        <v>26</v>
      </c>
    </row>
    <row r="266" spans="1:4" x14ac:dyDescent="0.25">
      <c r="A266" t="s">
        <v>1078</v>
      </c>
      <c r="B266" t="s">
        <v>1079</v>
      </c>
      <c r="C266" t="s">
        <v>41</v>
      </c>
      <c r="D266" t="s">
        <v>26</v>
      </c>
    </row>
    <row r="267" spans="1:4" x14ac:dyDescent="0.25">
      <c r="A267" t="s">
        <v>1081</v>
      </c>
      <c r="B267" t="s">
        <v>1082</v>
      </c>
      <c r="C267" t="s">
        <v>80</v>
      </c>
      <c r="D267" t="s">
        <v>26</v>
      </c>
    </row>
    <row r="268" spans="1:4" x14ac:dyDescent="0.25">
      <c r="A268" t="s">
        <v>1084</v>
      </c>
      <c r="B268" t="s">
        <v>1085</v>
      </c>
      <c r="C268" t="s">
        <v>32</v>
      </c>
      <c r="D268" t="s">
        <v>26</v>
      </c>
    </row>
    <row r="269" spans="1:4" x14ac:dyDescent="0.25">
      <c r="A269" t="s">
        <v>1087</v>
      </c>
      <c r="B269" t="s">
        <v>1088</v>
      </c>
      <c r="C269" t="s">
        <v>32</v>
      </c>
      <c r="D269" t="s">
        <v>26</v>
      </c>
    </row>
    <row r="270" spans="1:4" x14ac:dyDescent="0.25">
      <c r="A270" t="s">
        <v>1091</v>
      </c>
      <c r="B270" t="s">
        <v>1092</v>
      </c>
      <c r="C270" t="s">
        <v>303</v>
      </c>
      <c r="D270" t="s">
        <v>26</v>
      </c>
    </row>
    <row r="271" spans="1:4" x14ac:dyDescent="0.25">
      <c r="A271" t="s">
        <v>1094</v>
      </c>
      <c r="B271" t="s">
        <v>1095</v>
      </c>
      <c r="C271" t="s">
        <v>23</v>
      </c>
      <c r="D271" t="s">
        <v>26</v>
      </c>
    </row>
    <row r="272" spans="1:4" x14ac:dyDescent="0.25">
      <c r="A272" t="s">
        <v>1098</v>
      </c>
      <c r="B272" t="s">
        <v>1099</v>
      </c>
      <c r="C272" t="s">
        <v>23</v>
      </c>
      <c r="D272" t="s">
        <v>26</v>
      </c>
    </row>
    <row r="273" spans="1:4" x14ac:dyDescent="0.25">
      <c r="A273" t="s">
        <v>1101</v>
      </c>
      <c r="B273" t="s">
        <v>1102</v>
      </c>
      <c r="C273" t="s">
        <v>32</v>
      </c>
      <c r="D273" t="s">
        <v>26</v>
      </c>
    </row>
    <row r="274" spans="1:4" x14ac:dyDescent="0.25">
      <c r="A274" t="s">
        <v>1105</v>
      </c>
      <c r="B274" t="s">
        <v>1106</v>
      </c>
      <c r="C274" t="s">
        <v>23</v>
      </c>
      <c r="D274" t="s">
        <v>26</v>
      </c>
    </row>
    <row r="275" spans="1:4" x14ac:dyDescent="0.25">
      <c r="A275" t="s">
        <v>1108</v>
      </c>
      <c r="B275" t="s">
        <v>1109</v>
      </c>
      <c r="C275" t="s">
        <v>23</v>
      </c>
      <c r="D275" t="s">
        <v>26</v>
      </c>
    </row>
    <row r="276" spans="1:4" x14ac:dyDescent="0.25">
      <c r="A276" t="s">
        <v>1111</v>
      </c>
      <c r="B276" t="s">
        <v>1112</v>
      </c>
      <c r="C276" t="s">
        <v>23</v>
      </c>
      <c r="D276" t="s">
        <v>26</v>
      </c>
    </row>
    <row r="277" spans="1:4" x14ac:dyDescent="0.25">
      <c r="A277" t="s">
        <v>1115</v>
      </c>
      <c r="B277" t="s">
        <v>1116</v>
      </c>
      <c r="C277" t="s">
        <v>23</v>
      </c>
      <c r="D277" t="s">
        <v>35</v>
      </c>
    </row>
    <row r="278" spans="1:4" x14ac:dyDescent="0.25">
      <c r="A278" t="s">
        <v>1119</v>
      </c>
      <c r="B278" t="s">
        <v>1120</v>
      </c>
      <c r="C278" t="s">
        <v>23</v>
      </c>
      <c r="D278" t="s">
        <v>26</v>
      </c>
    </row>
    <row r="279" spans="1:4" x14ac:dyDescent="0.25">
      <c r="A279" t="s">
        <v>1122</v>
      </c>
      <c r="B279" t="s">
        <v>1123</v>
      </c>
      <c r="C279" t="s">
        <v>32</v>
      </c>
      <c r="D279" t="s">
        <v>26</v>
      </c>
    </row>
    <row r="280" spans="1:4" x14ac:dyDescent="0.25">
      <c r="A280" t="s">
        <v>1126</v>
      </c>
      <c r="B280" t="s">
        <v>1127</v>
      </c>
      <c r="C280" t="s">
        <v>32</v>
      </c>
      <c r="D280" t="s">
        <v>26</v>
      </c>
    </row>
    <row r="281" spans="1:4" x14ac:dyDescent="0.25">
      <c r="A281" t="s">
        <v>1129</v>
      </c>
      <c r="B281" t="s">
        <v>1130</v>
      </c>
      <c r="C281" t="s">
        <v>23</v>
      </c>
      <c r="D281" t="s">
        <v>26</v>
      </c>
    </row>
    <row r="282" spans="1:4" x14ac:dyDescent="0.25">
      <c r="A282" t="s">
        <v>1132</v>
      </c>
      <c r="B282" t="s">
        <v>1133</v>
      </c>
      <c r="C282" t="s">
        <v>23</v>
      </c>
      <c r="D282" t="s">
        <v>26</v>
      </c>
    </row>
    <row r="283" spans="1:4" x14ac:dyDescent="0.25">
      <c r="A283" t="s">
        <v>1135</v>
      </c>
      <c r="B283" t="s">
        <v>1136</v>
      </c>
      <c r="C283" t="s">
        <v>32</v>
      </c>
      <c r="D283" t="s">
        <v>26</v>
      </c>
    </row>
    <row r="284" spans="1:4" x14ac:dyDescent="0.25">
      <c r="A284" t="s">
        <v>1139</v>
      </c>
      <c r="B284" t="s">
        <v>1140</v>
      </c>
      <c r="C284" t="s">
        <v>23</v>
      </c>
      <c r="D284" t="s">
        <v>26</v>
      </c>
    </row>
    <row r="285" spans="1:4" x14ac:dyDescent="0.25">
      <c r="A285" t="s">
        <v>1143</v>
      </c>
      <c r="B285" t="s">
        <v>1144</v>
      </c>
      <c r="C285" t="s">
        <v>23</v>
      </c>
      <c r="D285" t="s">
        <v>26</v>
      </c>
    </row>
    <row r="286" spans="1:4" x14ac:dyDescent="0.25">
      <c r="A286" t="s">
        <v>1147</v>
      </c>
      <c r="B286" t="s">
        <v>1148</v>
      </c>
      <c r="C286" t="s">
        <v>125</v>
      </c>
      <c r="D286" t="s">
        <v>35</v>
      </c>
    </row>
    <row r="287" spans="1:4" x14ac:dyDescent="0.25">
      <c r="A287" t="s">
        <v>1151</v>
      </c>
      <c r="B287" t="s">
        <v>1152</v>
      </c>
      <c r="C287" t="s">
        <v>125</v>
      </c>
      <c r="D287" t="s">
        <v>26</v>
      </c>
    </row>
    <row r="288" spans="1:4" x14ac:dyDescent="0.25">
      <c r="A288" t="s">
        <v>1155</v>
      </c>
      <c r="B288" t="s">
        <v>1156</v>
      </c>
      <c r="C288" t="s">
        <v>32</v>
      </c>
      <c r="D288" t="s">
        <v>35</v>
      </c>
    </row>
    <row r="289" spans="1:4" x14ac:dyDescent="0.25">
      <c r="A289" t="s">
        <v>1158</v>
      </c>
      <c r="B289" t="s">
        <v>1159</v>
      </c>
      <c r="C289" t="s">
        <v>32</v>
      </c>
      <c r="D289" t="s">
        <v>26</v>
      </c>
    </row>
    <row r="290" spans="1:4" x14ac:dyDescent="0.25">
      <c r="A290" t="s">
        <v>1162</v>
      </c>
      <c r="B290" t="s">
        <v>1163</v>
      </c>
      <c r="C290" t="s">
        <v>32</v>
      </c>
      <c r="D290" t="s">
        <v>26</v>
      </c>
    </row>
    <row r="291" spans="1:4" x14ac:dyDescent="0.25">
      <c r="A291" t="s">
        <v>1166</v>
      </c>
      <c r="B291" t="s">
        <v>1167</v>
      </c>
      <c r="C291" t="s">
        <v>32</v>
      </c>
      <c r="D291" t="s">
        <v>26</v>
      </c>
    </row>
    <row r="292" spans="1:4" x14ac:dyDescent="0.25">
      <c r="A292" t="s">
        <v>1169</v>
      </c>
      <c r="B292" t="s">
        <v>1170</v>
      </c>
      <c r="C292" t="s">
        <v>80</v>
      </c>
      <c r="D292" t="s">
        <v>26</v>
      </c>
    </row>
    <row r="293" spans="1:4" x14ac:dyDescent="0.25">
      <c r="A293" t="s">
        <v>1173</v>
      </c>
      <c r="B293" t="s">
        <v>1174</v>
      </c>
      <c r="C293" t="s">
        <v>23</v>
      </c>
      <c r="D293" t="s">
        <v>26</v>
      </c>
    </row>
    <row r="294" spans="1:4" x14ac:dyDescent="0.25">
      <c r="A294" t="s">
        <v>1176</v>
      </c>
      <c r="B294" t="s">
        <v>1177</v>
      </c>
      <c r="C294" t="s">
        <v>32</v>
      </c>
      <c r="D294" t="s">
        <v>26</v>
      </c>
    </row>
    <row r="295" spans="1:4" x14ac:dyDescent="0.25">
      <c r="A295" t="s">
        <v>1179</v>
      </c>
      <c r="B295" t="s">
        <v>1180</v>
      </c>
      <c r="C295" t="s">
        <v>125</v>
      </c>
      <c r="D295" t="s">
        <v>35</v>
      </c>
    </row>
    <row r="296" spans="1:4" x14ac:dyDescent="0.25">
      <c r="A296" t="s">
        <v>1183</v>
      </c>
      <c r="B296" t="s">
        <v>1184</v>
      </c>
      <c r="C296" t="s">
        <v>303</v>
      </c>
      <c r="D296" t="s">
        <v>35</v>
      </c>
    </row>
    <row r="297" spans="1:4" x14ac:dyDescent="0.25">
      <c r="A297" t="s">
        <v>1186</v>
      </c>
      <c r="B297" t="s">
        <v>1187</v>
      </c>
      <c r="C297" t="s">
        <v>23</v>
      </c>
      <c r="D297" t="s">
        <v>26</v>
      </c>
    </row>
    <row r="298" spans="1:4" x14ac:dyDescent="0.25">
      <c r="A298" t="s">
        <v>1190</v>
      </c>
      <c r="B298" t="s">
        <v>1191</v>
      </c>
      <c r="C298" t="s">
        <v>23</v>
      </c>
      <c r="D298" t="s">
        <v>26</v>
      </c>
    </row>
    <row r="299" spans="1:4" x14ac:dyDescent="0.25">
      <c r="A299" t="s">
        <v>1193</v>
      </c>
      <c r="B299" t="s">
        <v>1194</v>
      </c>
      <c r="C299" t="s">
        <v>23</v>
      </c>
      <c r="D299" t="s">
        <v>26</v>
      </c>
    </row>
    <row r="300" spans="1:4" x14ac:dyDescent="0.25">
      <c r="A300" t="s">
        <v>1197</v>
      </c>
      <c r="B300" t="s">
        <v>1198</v>
      </c>
      <c r="C300" t="s">
        <v>32</v>
      </c>
      <c r="D300" t="s">
        <v>26</v>
      </c>
    </row>
    <row r="301" spans="1:4" x14ac:dyDescent="0.25">
      <c r="A301" t="s">
        <v>1201</v>
      </c>
      <c r="B301" t="s">
        <v>1202</v>
      </c>
      <c r="C301" t="s">
        <v>32</v>
      </c>
      <c r="D301" t="s">
        <v>26</v>
      </c>
    </row>
    <row r="302" spans="1:4" x14ac:dyDescent="0.25">
      <c r="A302" t="s">
        <v>1204</v>
      </c>
      <c r="B302" t="s">
        <v>1205</v>
      </c>
      <c r="C302" t="s">
        <v>23</v>
      </c>
      <c r="D302" t="s">
        <v>26</v>
      </c>
    </row>
    <row r="303" spans="1:4" x14ac:dyDescent="0.25">
      <c r="A303" t="s">
        <v>1208</v>
      </c>
      <c r="B303" t="s">
        <v>1209</v>
      </c>
      <c r="C303" t="s">
        <v>32</v>
      </c>
      <c r="D303" t="s">
        <v>26</v>
      </c>
    </row>
    <row r="304" spans="1:4" x14ac:dyDescent="0.25">
      <c r="A304" t="s">
        <v>1211</v>
      </c>
      <c r="B304" t="s">
        <v>1212</v>
      </c>
      <c r="C304" t="s">
        <v>41</v>
      </c>
      <c r="D304" t="s">
        <v>26</v>
      </c>
    </row>
    <row r="305" spans="1:4" x14ac:dyDescent="0.25">
      <c r="A305" t="s">
        <v>1215</v>
      </c>
      <c r="B305" t="s">
        <v>1216</v>
      </c>
      <c r="C305" t="s">
        <v>23</v>
      </c>
      <c r="D305" t="s">
        <v>26</v>
      </c>
    </row>
    <row r="306" spans="1:4" x14ac:dyDescent="0.25">
      <c r="A306" t="s">
        <v>1219</v>
      </c>
      <c r="B306" t="s">
        <v>1220</v>
      </c>
      <c r="C306" t="s">
        <v>32</v>
      </c>
      <c r="D306" t="s">
        <v>26</v>
      </c>
    </row>
    <row r="307" spans="1:4" x14ac:dyDescent="0.25">
      <c r="A307" t="s">
        <v>1223</v>
      </c>
      <c r="B307" t="s">
        <v>1224</v>
      </c>
      <c r="C307" t="s">
        <v>32</v>
      </c>
      <c r="D307" t="s">
        <v>26</v>
      </c>
    </row>
    <row r="308" spans="1:4" x14ac:dyDescent="0.25">
      <c r="A308" t="s">
        <v>1227</v>
      </c>
      <c r="B308" t="s">
        <v>1228</v>
      </c>
      <c r="C308" t="s">
        <v>125</v>
      </c>
      <c r="D308" t="s">
        <v>26</v>
      </c>
    </row>
    <row r="309" spans="1:4" x14ac:dyDescent="0.25">
      <c r="A309" t="s">
        <v>1231</v>
      </c>
      <c r="B309" t="s">
        <v>1232</v>
      </c>
      <c r="C309" t="s">
        <v>32</v>
      </c>
      <c r="D309" t="s">
        <v>26</v>
      </c>
    </row>
    <row r="310" spans="1:4" x14ac:dyDescent="0.25">
      <c r="A310" t="s">
        <v>1234</v>
      </c>
      <c r="B310" t="s">
        <v>1235</v>
      </c>
      <c r="C310" t="s">
        <v>32</v>
      </c>
      <c r="D310" t="s">
        <v>35</v>
      </c>
    </row>
    <row r="311" spans="1:4" x14ac:dyDescent="0.25">
      <c r="A311" t="s">
        <v>1238</v>
      </c>
      <c r="B311" t="s">
        <v>1239</v>
      </c>
      <c r="C311" t="s">
        <v>34</v>
      </c>
      <c r="D311" t="s">
        <v>26</v>
      </c>
    </row>
    <row r="312" spans="1:4" x14ac:dyDescent="0.25">
      <c r="A312" t="s">
        <v>1243</v>
      </c>
      <c r="B312" t="s">
        <v>1244</v>
      </c>
      <c r="C312" t="s">
        <v>62</v>
      </c>
      <c r="D312" t="s">
        <v>26</v>
      </c>
    </row>
    <row r="313" spans="1:4" x14ac:dyDescent="0.25">
      <c r="A313" t="s">
        <v>1247</v>
      </c>
      <c r="B313" t="s">
        <v>1248</v>
      </c>
      <c r="C313" t="s">
        <v>23</v>
      </c>
      <c r="D313" t="s">
        <v>26</v>
      </c>
    </row>
    <row r="314" spans="1:4" x14ac:dyDescent="0.25">
      <c r="A314" t="s">
        <v>1251</v>
      </c>
      <c r="B314" t="s">
        <v>1252</v>
      </c>
      <c r="C314" t="s">
        <v>32</v>
      </c>
      <c r="D314" t="s">
        <v>26</v>
      </c>
    </row>
    <row r="315" spans="1:4" x14ac:dyDescent="0.25">
      <c r="A315" t="s">
        <v>1255</v>
      </c>
      <c r="B315" t="s">
        <v>1256</v>
      </c>
      <c r="C315" t="s">
        <v>23</v>
      </c>
      <c r="D315" t="s">
        <v>26</v>
      </c>
    </row>
    <row r="316" spans="1:4" x14ac:dyDescent="0.25">
      <c r="A316" t="s">
        <v>1258</v>
      </c>
      <c r="B316" t="s">
        <v>1259</v>
      </c>
      <c r="C316" t="s">
        <v>32</v>
      </c>
      <c r="D316" t="s">
        <v>35</v>
      </c>
    </row>
    <row r="317" spans="1:4" x14ac:dyDescent="0.25">
      <c r="A317" t="s">
        <v>1262</v>
      </c>
      <c r="B317" t="s">
        <v>1263</v>
      </c>
      <c r="C317" t="s">
        <v>125</v>
      </c>
      <c r="D317" t="s">
        <v>26</v>
      </c>
    </row>
    <row r="318" spans="1:4" x14ac:dyDescent="0.25">
      <c r="A318" t="s">
        <v>1266</v>
      </c>
      <c r="B318" t="s">
        <v>1267</v>
      </c>
      <c r="C318" t="s">
        <v>23</v>
      </c>
      <c r="D318" t="s">
        <v>35</v>
      </c>
    </row>
    <row r="319" spans="1:4" x14ac:dyDescent="0.25">
      <c r="A319" t="s">
        <v>1270</v>
      </c>
      <c r="B319" t="s">
        <v>1271</v>
      </c>
      <c r="C319" t="s">
        <v>32</v>
      </c>
      <c r="D319" t="s">
        <v>26</v>
      </c>
    </row>
    <row r="320" spans="1:4" x14ac:dyDescent="0.25">
      <c r="A320" t="s">
        <v>1273</v>
      </c>
      <c r="B320" t="s">
        <v>1274</v>
      </c>
      <c r="C320" t="s">
        <v>32</v>
      </c>
      <c r="D320" t="s">
        <v>35</v>
      </c>
    </row>
    <row r="321" spans="1:4" x14ac:dyDescent="0.25">
      <c r="A321" t="s">
        <v>1276</v>
      </c>
      <c r="B321" t="s">
        <v>1277</v>
      </c>
      <c r="C321" t="s">
        <v>41</v>
      </c>
      <c r="D321" t="s">
        <v>26</v>
      </c>
    </row>
    <row r="322" spans="1:4" x14ac:dyDescent="0.25">
      <c r="A322" t="s">
        <v>1280</v>
      </c>
      <c r="B322" t="s">
        <v>1281</v>
      </c>
      <c r="C322" t="s">
        <v>41</v>
      </c>
      <c r="D322" t="s">
        <v>26</v>
      </c>
    </row>
    <row r="323" spans="1:4" x14ac:dyDescent="0.25">
      <c r="A323" t="s">
        <v>1283</v>
      </c>
      <c r="B323" t="s">
        <v>1284</v>
      </c>
      <c r="C323" t="s">
        <v>23</v>
      </c>
      <c r="D323" t="s">
        <v>26</v>
      </c>
    </row>
    <row r="324" spans="1:4" x14ac:dyDescent="0.25">
      <c r="A324" t="s">
        <v>1287</v>
      </c>
      <c r="B324" t="s">
        <v>1288</v>
      </c>
      <c r="C324" t="s">
        <v>41</v>
      </c>
      <c r="D324" t="s">
        <v>26</v>
      </c>
    </row>
    <row r="325" spans="1:4" x14ac:dyDescent="0.25">
      <c r="A325" t="s">
        <v>1290</v>
      </c>
      <c r="B325" t="s">
        <v>1291</v>
      </c>
      <c r="C325" t="s">
        <v>32</v>
      </c>
      <c r="D325" t="s">
        <v>35</v>
      </c>
    </row>
    <row r="326" spans="1:4" x14ac:dyDescent="0.25">
      <c r="A326" t="s">
        <v>1294</v>
      </c>
      <c r="B326" t="s">
        <v>1295</v>
      </c>
      <c r="C326" t="s">
        <v>32</v>
      </c>
      <c r="D326" t="s">
        <v>26</v>
      </c>
    </row>
    <row r="327" spans="1:4" x14ac:dyDescent="0.25">
      <c r="A327" t="s">
        <v>1298</v>
      </c>
      <c r="B327" t="s">
        <v>1299</v>
      </c>
      <c r="C327" t="s">
        <v>23</v>
      </c>
      <c r="D327" t="s">
        <v>26</v>
      </c>
    </row>
    <row r="328" spans="1:4" x14ac:dyDescent="0.25">
      <c r="A328" t="s">
        <v>1301</v>
      </c>
      <c r="B328" t="s">
        <v>1302</v>
      </c>
      <c r="C328" t="s">
        <v>32</v>
      </c>
      <c r="D328" t="s">
        <v>26</v>
      </c>
    </row>
    <row r="329" spans="1:4" x14ac:dyDescent="0.25">
      <c r="A329" t="s">
        <v>1304</v>
      </c>
      <c r="B329" t="s">
        <v>1305</v>
      </c>
      <c r="C329" t="s">
        <v>32</v>
      </c>
      <c r="D329" t="s">
        <v>26</v>
      </c>
    </row>
    <row r="330" spans="1:4" x14ac:dyDescent="0.25">
      <c r="A330" t="s">
        <v>1308</v>
      </c>
      <c r="B330" t="s">
        <v>1309</v>
      </c>
      <c r="C330" t="s">
        <v>23</v>
      </c>
      <c r="D330" t="s">
        <v>26</v>
      </c>
    </row>
    <row r="331" spans="1:4" x14ac:dyDescent="0.25">
      <c r="A331" t="s">
        <v>1311</v>
      </c>
      <c r="B331" t="s">
        <v>1312</v>
      </c>
      <c r="C331" t="s">
        <v>32</v>
      </c>
      <c r="D331" t="s">
        <v>26</v>
      </c>
    </row>
    <row r="332" spans="1:4" x14ac:dyDescent="0.25">
      <c r="A332" t="s">
        <v>1314</v>
      </c>
      <c r="B332" t="s">
        <v>1315</v>
      </c>
      <c r="C332" t="s">
        <v>23</v>
      </c>
      <c r="D332" t="s">
        <v>26</v>
      </c>
    </row>
    <row r="333" spans="1:4" x14ac:dyDescent="0.25">
      <c r="A333" t="s">
        <v>1317</v>
      </c>
      <c r="B333" t="s">
        <v>1318</v>
      </c>
      <c r="C333" t="s">
        <v>23</v>
      </c>
      <c r="D333" t="s">
        <v>26</v>
      </c>
    </row>
    <row r="334" spans="1:4" x14ac:dyDescent="0.25">
      <c r="A334" t="s">
        <v>1320</v>
      </c>
      <c r="B334" t="s">
        <v>1321</v>
      </c>
      <c r="C334" t="s">
        <v>32</v>
      </c>
      <c r="D334" t="s">
        <v>26</v>
      </c>
    </row>
    <row r="335" spans="1:4" x14ac:dyDescent="0.25">
      <c r="A335" t="s">
        <v>1323</v>
      </c>
      <c r="B335" t="s">
        <v>1324</v>
      </c>
      <c r="C335" t="s">
        <v>23</v>
      </c>
      <c r="D335" t="s">
        <v>26</v>
      </c>
    </row>
    <row r="336" spans="1:4" x14ac:dyDescent="0.25">
      <c r="A336" t="s">
        <v>1327</v>
      </c>
      <c r="B336" t="s">
        <v>1328</v>
      </c>
      <c r="C336" t="s">
        <v>23</v>
      </c>
      <c r="D336" t="s">
        <v>26</v>
      </c>
    </row>
    <row r="337" spans="1:4" x14ac:dyDescent="0.25">
      <c r="A337" t="s">
        <v>1330</v>
      </c>
      <c r="B337" t="s">
        <v>1331</v>
      </c>
      <c r="C337" t="s">
        <v>32</v>
      </c>
      <c r="D337" t="s">
        <v>26</v>
      </c>
    </row>
    <row r="338" spans="1:4" x14ac:dyDescent="0.25">
      <c r="A338" t="s">
        <v>1334</v>
      </c>
      <c r="B338" t="s">
        <v>1335</v>
      </c>
      <c r="C338" t="s">
        <v>41</v>
      </c>
      <c r="D338" t="s">
        <v>26</v>
      </c>
    </row>
    <row r="339" spans="1:4" x14ac:dyDescent="0.25">
      <c r="A339" t="s">
        <v>1338</v>
      </c>
      <c r="B339" t="s">
        <v>1339</v>
      </c>
      <c r="C339" t="s">
        <v>32</v>
      </c>
      <c r="D339" t="s">
        <v>26</v>
      </c>
    </row>
    <row r="340" spans="1:4" x14ac:dyDescent="0.25">
      <c r="A340" t="s">
        <v>1341</v>
      </c>
      <c r="B340" t="s">
        <v>1342</v>
      </c>
      <c r="C340" t="s">
        <v>41</v>
      </c>
      <c r="D340" t="s">
        <v>26</v>
      </c>
    </row>
    <row r="341" spans="1:4" x14ac:dyDescent="0.25">
      <c r="A341" t="s">
        <v>1344</v>
      </c>
      <c r="B341" t="s">
        <v>1345</v>
      </c>
      <c r="C341" t="s">
        <v>123</v>
      </c>
      <c r="D341" t="s">
        <v>26</v>
      </c>
    </row>
    <row r="342" spans="1:4" x14ac:dyDescent="0.25">
      <c r="A342" t="s">
        <v>1347</v>
      </c>
      <c r="B342" t="s">
        <v>1348</v>
      </c>
      <c r="C342" t="s">
        <v>32</v>
      </c>
      <c r="D342" t="s">
        <v>26</v>
      </c>
    </row>
    <row r="343" spans="1:4" x14ac:dyDescent="0.25">
      <c r="A343" t="s">
        <v>1351</v>
      </c>
      <c r="B343" t="s">
        <v>1352</v>
      </c>
      <c r="C343" t="s">
        <v>32</v>
      </c>
      <c r="D343" t="s">
        <v>26</v>
      </c>
    </row>
    <row r="344" spans="1:4" x14ac:dyDescent="0.25">
      <c r="A344" t="s">
        <v>1355</v>
      </c>
      <c r="B344" t="s">
        <v>1356</v>
      </c>
      <c r="C344" t="s">
        <v>80</v>
      </c>
      <c r="D344" t="s">
        <v>35</v>
      </c>
    </row>
    <row r="345" spans="1:4" x14ac:dyDescent="0.25">
      <c r="A345" t="s">
        <v>1359</v>
      </c>
      <c r="B345" t="s">
        <v>1360</v>
      </c>
      <c r="C345" t="s">
        <v>41</v>
      </c>
      <c r="D345" t="s">
        <v>26</v>
      </c>
    </row>
    <row r="346" spans="1:4" x14ac:dyDescent="0.25">
      <c r="A346" t="s">
        <v>1362</v>
      </c>
      <c r="B346" t="s">
        <v>1363</v>
      </c>
      <c r="C346" t="s">
        <v>41</v>
      </c>
      <c r="D346" t="s">
        <v>26</v>
      </c>
    </row>
    <row r="347" spans="1:4" x14ac:dyDescent="0.25">
      <c r="A347" t="s">
        <v>1366</v>
      </c>
      <c r="B347" t="s">
        <v>1367</v>
      </c>
      <c r="C347" t="s">
        <v>32</v>
      </c>
      <c r="D347" t="s">
        <v>26</v>
      </c>
    </row>
    <row r="348" spans="1:4" x14ac:dyDescent="0.25">
      <c r="A348" t="s">
        <v>1370</v>
      </c>
      <c r="B348" t="s">
        <v>1371</v>
      </c>
      <c r="C348" t="s">
        <v>62</v>
      </c>
      <c r="D348" t="s">
        <v>26</v>
      </c>
    </row>
    <row r="349" spans="1:4" x14ac:dyDescent="0.25">
      <c r="A349" t="s">
        <v>1374</v>
      </c>
      <c r="B349" t="s">
        <v>1375</v>
      </c>
      <c r="C349" t="s">
        <v>32</v>
      </c>
      <c r="D349" t="s">
        <v>26</v>
      </c>
    </row>
    <row r="350" spans="1:4" x14ac:dyDescent="0.25">
      <c r="A350" t="s">
        <v>1377</v>
      </c>
      <c r="B350" t="s">
        <v>1378</v>
      </c>
      <c r="C350" t="s">
        <v>32</v>
      </c>
      <c r="D350" t="s">
        <v>26</v>
      </c>
    </row>
    <row r="351" spans="1:4" x14ac:dyDescent="0.25">
      <c r="A351" t="s">
        <v>1380</v>
      </c>
      <c r="B351" t="s">
        <v>1381</v>
      </c>
      <c r="C351" t="s">
        <v>32</v>
      </c>
      <c r="D351" t="s">
        <v>35</v>
      </c>
    </row>
    <row r="352" spans="1:4" x14ac:dyDescent="0.25">
      <c r="A352" t="s">
        <v>1384</v>
      </c>
      <c r="B352" t="s">
        <v>1385</v>
      </c>
      <c r="C352" t="s">
        <v>123</v>
      </c>
      <c r="D352" t="s">
        <v>26</v>
      </c>
    </row>
    <row r="353" spans="1:4" x14ac:dyDescent="0.25">
      <c r="A353" t="s">
        <v>1387</v>
      </c>
      <c r="B353" t="s">
        <v>1388</v>
      </c>
      <c r="C353" t="s">
        <v>32</v>
      </c>
      <c r="D353" t="s">
        <v>26</v>
      </c>
    </row>
    <row r="354" spans="1:4" x14ac:dyDescent="0.25">
      <c r="A354" t="s">
        <v>1390</v>
      </c>
      <c r="B354" t="s">
        <v>1391</v>
      </c>
      <c r="C354" t="s">
        <v>41</v>
      </c>
      <c r="D354" t="s">
        <v>26</v>
      </c>
    </row>
    <row r="355" spans="1:4" x14ac:dyDescent="0.25">
      <c r="A355" t="s">
        <v>1393</v>
      </c>
      <c r="B355" t="s">
        <v>1394</v>
      </c>
      <c r="C355" t="s">
        <v>32</v>
      </c>
      <c r="D355" t="s">
        <v>35</v>
      </c>
    </row>
    <row r="356" spans="1:4" x14ac:dyDescent="0.25">
      <c r="A356" t="s">
        <v>1397</v>
      </c>
      <c r="B356" t="s">
        <v>1398</v>
      </c>
      <c r="C356" t="s">
        <v>23</v>
      </c>
      <c r="D356" t="s">
        <v>26</v>
      </c>
    </row>
    <row r="357" spans="1:4" x14ac:dyDescent="0.25">
      <c r="A357" t="s">
        <v>1401</v>
      </c>
      <c r="B357" t="s">
        <v>1402</v>
      </c>
      <c r="C357" t="s">
        <v>23</v>
      </c>
      <c r="D357" t="s">
        <v>26</v>
      </c>
    </row>
    <row r="358" spans="1:4" x14ac:dyDescent="0.25">
      <c r="A358" t="s">
        <v>1404</v>
      </c>
      <c r="B358" t="s">
        <v>1405</v>
      </c>
      <c r="C358" t="s">
        <v>32</v>
      </c>
      <c r="D358" t="s">
        <v>26</v>
      </c>
    </row>
    <row r="359" spans="1:4" x14ac:dyDescent="0.25">
      <c r="A359" t="s">
        <v>1407</v>
      </c>
      <c r="B359" t="s">
        <v>1408</v>
      </c>
      <c r="C359" t="s">
        <v>34</v>
      </c>
      <c r="D359" t="s">
        <v>26</v>
      </c>
    </row>
    <row r="360" spans="1:4" x14ac:dyDescent="0.25">
      <c r="A360" t="s">
        <v>1410</v>
      </c>
      <c r="B360" t="s">
        <v>1411</v>
      </c>
      <c r="C360" t="s">
        <v>23</v>
      </c>
      <c r="D360" t="s">
        <v>26</v>
      </c>
    </row>
    <row r="361" spans="1:4" x14ac:dyDescent="0.25">
      <c r="A361" t="s">
        <v>1413</v>
      </c>
      <c r="B361" t="s">
        <v>1414</v>
      </c>
      <c r="C361" t="s">
        <v>23</v>
      </c>
      <c r="D361" t="s">
        <v>26</v>
      </c>
    </row>
    <row r="362" spans="1:4" x14ac:dyDescent="0.25">
      <c r="A362" t="s">
        <v>1417</v>
      </c>
      <c r="B362" t="s">
        <v>1418</v>
      </c>
      <c r="C362" t="s">
        <v>32</v>
      </c>
      <c r="D362" t="s">
        <v>26</v>
      </c>
    </row>
    <row r="363" spans="1:4" x14ac:dyDescent="0.25">
      <c r="A363" t="s">
        <v>1421</v>
      </c>
      <c r="B363" t="s">
        <v>1422</v>
      </c>
      <c r="C363" t="s">
        <v>32</v>
      </c>
      <c r="D363" t="s">
        <v>26</v>
      </c>
    </row>
    <row r="364" spans="1:4" x14ac:dyDescent="0.25">
      <c r="A364" t="s">
        <v>1425</v>
      </c>
      <c r="B364" t="s">
        <v>1426</v>
      </c>
      <c r="C364" t="s">
        <v>34</v>
      </c>
      <c r="D364" t="s">
        <v>26</v>
      </c>
    </row>
    <row r="365" spans="1:4" x14ac:dyDescent="0.25">
      <c r="A365" t="s">
        <v>1429</v>
      </c>
      <c r="B365" t="s">
        <v>1430</v>
      </c>
      <c r="C365" t="s">
        <v>125</v>
      </c>
      <c r="D365" t="s">
        <v>26</v>
      </c>
    </row>
    <row r="366" spans="1:4" x14ac:dyDescent="0.25">
      <c r="A366" t="s">
        <v>1432</v>
      </c>
      <c r="B366" t="s">
        <v>1433</v>
      </c>
      <c r="C366" t="s">
        <v>125</v>
      </c>
      <c r="D366" t="s">
        <v>26</v>
      </c>
    </row>
    <row r="367" spans="1:4" x14ac:dyDescent="0.25">
      <c r="A367" t="s">
        <v>1436</v>
      </c>
      <c r="B367" t="s">
        <v>1437</v>
      </c>
      <c r="C367" t="s">
        <v>32</v>
      </c>
      <c r="D367" t="s">
        <v>26</v>
      </c>
    </row>
    <row r="368" spans="1:4" x14ac:dyDescent="0.25">
      <c r="A368" t="s">
        <v>1440</v>
      </c>
      <c r="B368" t="s">
        <v>1441</v>
      </c>
      <c r="C368" t="s">
        <v>32</v>
      </c>
      <c r="D368" t="s">
        <v>26</v>
      </c>
    </row>
    <row r="369" spans="1:4" x14ac:dyDescent="0.25">
      <c r="A369" t="s">
        <v>1443</v>
      </c>
      <c r="B369" t="s">
        <v>1444</v>
      </c>
      <c r="C369" t="s">
        <v>23</v>
      </c>
      <c r="D369" t="s">
        <v>26</v>
      </c>
    </row>
    <row r="370" spans="1:4" x14ac:dyDescent="0.25">
      <c r="A370" t="s">
        <v>1446</v>
      </c>
      <c r="B370" t="s">
        <v>1447</v>
      </c>
      <c r="C370" t="s">
        <v>23</v>
      </c>
      <c r="D370" t="s">
        <v>26</v>
      </c>
    </row>
    <row r="371" spans="1:4" x14ac:dyDescent="0.25">
      <c r="A371" t="s">
        <v>1450</v>
      </c>
      <c r="B371" t="s">
        <v>1451</v>
      </c>
      <c r="C371" t="s">
        <v>23</v>
      </c>
      <c r="D371" t="s">
        <v>26</v>
      </c>
    </row>
    <row r="372" spans="1:4" x14ac:dyDescent="0.25">
      <c r="A372" t="s">
        <v>1453</v>
      </c>
      <c r="B372" t="s">
        <v>1454</v>
      </c>
      <c r="C372" t="s">
        <v>32</v>
      </c>
      <c r="D372" t="s">
        <v>26</v>
      </c>
    </row>
    <row r="373" spans="1:4" x14ac:dyDescent="0.25">
      <c r="A373" t="s">
        <v>1456</v>
      </c>
      <c r="B373" t="s">
        <v>1457</v>
      </c>
      <c r="C373" t="s">
        <v>32</v>
      </c>
      <c r="D373" t="s">
        <v>26</v>
      </c>
    </row>
    <row r="374" spans="1:4" x14ac:dyDescent="0.25">
      <c r="A374" t="s">
        <v>1460</v>
      </c>
      <c r="B374" t="s">
        <v>1461</v>
      </c>
      <c r="C374" t="s">
        <v>32</v>
      </c>
      <c r="D374" t="s">
        <v>26</v>
      </c>
    </row>
    <row r="375" spans="1:4" x14ac:dyDescent="0.25">
      <c r="A375" t="s">
        <v>1463</v>
      </c>
      <c r="B375" t="s">
        <v>1464</v>
      </c>
      <c r="C375" t="s">
        <v>125</v>
      </c>
      <c r="D375" t="s">
        <v>26</v>
      </c>
    </row>
    <row r="376" spans="1:4" x14ac:dyDescent="0.25">
      <c r="A376" t="s">
        <v>1466</v>
      </c>
      <c r="B376" t="s">
        <v>1467</v>
      </c>
      <c r="C376" t="s">
        <v>32</v>
      </c>
      <c r="D376" t="s">
        <v>26</v>
      </c>
    </row>
    <row r="377" spans="1:4" x14ac:dyDescent="0.25">
      <c r="A377" t="s">
        <v>1469</v>
      </c>
      <c r="B377" t="s">
        <v>1470</v>
      </c>
      <c r="C377" t="s">
        <v>23</v>
      </c>
      <c r="D377" t="s">
        <v>26</v>
      </c>
    </row>
    <row r="378" spans="1:4" x14ac:dyDescent="0.25">
      <c r="A378" t="s">
        <v>1473</v>
      </c>
      <c r="B378" t="s">
        <v>1474</v>
      </c>
      <c r="C378" t="s">
        <v>32</v>
      </c>
      <c r="D378" t="s">
        <v>26</v>
      </c>
    </row>
    <row r="379" spans="1:4" x14ac:dyDescent="0.25">
      <c r="A379" t="s">
        <v>1477</v>
      </c>
      <c r="B379" t="s">
        <v>1478</v>
      </c>
      <c r="C379" t="s">
        <v>32</v>
      </c>
      <c r="D379" t="s">
        <v>26</v>
      </c>
    </row>
    <row r="380" spans="1:4" x14ac:dyDescent="0.25">
      <c r="A380" t="s">
        <v>1480</v>
      </c>
      <c r="B380" t="s">
        <v>1481</v>
      </c>
      <c r="C380" t="s">
        <v>32</v>
      </c>
      <c r="D380" t="s">
        <v>35</v>
      </c>
    </row>
    <row r="381" spans="1:4" x14ac:dyDescent="0.25">
      <c r="A381" t="s">
        <v>1484</v>
      </c>
      <c r="B381" t="s">
        <v>1485</v>
      </c>
      <c r="C381" t="s">
        <v>32</v>
      </c>
      <c r="D381" t="s">
        <v>26</v>
      </c>
    </row>
    <row r="382" spans="1:4" x14ac:dyDescent="0.25">
      <c r="A382" t="s">
        <v>1487</v>
      </c>
      <c r="B382" t="s">
        <v>1488</v>
      </c>
      <c r="C382" t="s">
        <v>23</v>
      </c>
      <c r="D382" t="s">
        <v>26</v>
      </c>
    </row>
    <row r="383" spans="1:4" x14ac:dyDescent="0.25">
      <c r="A383" t="s">
        <v>1491</v>
      </c>
      <c r="B383" t="s">
        <v>1492</v>
      </c>
      <c r="C383" t="s">
        <v>23</v>
      </c>
      <c r="D383" t="s">
        <v>26</v>
      </c>
    </row>
    <row r="384" spans="1:4" x14ac:dyDescent="0.25">
      <c r="A384" t="s">
        <v>1494</v>
      </c>
      <c r="B384" t="s">
        <v>1495</v>
      </c>
      <c r="C384" t="s">
        <v>23</v>
      </c>
      <c r="D384" t="s">
        <v>26</v>
      </c>
    </row>
    <row r="385" spans="1:4" x14ac:dyDescent="0.25">
      <c r="A385" t="s">
        <v>1497</v>
      </c>
      <c r="B385" t="s">
        <v>1498</v>
      </c>
      <c r="C385" t="s">
        <v>32</v>
      </c>
      <c r="D385" t="s">
        <v>35</v>
      </c>
    </row>
    <row r="386" spans="1:4" x14ac:dyDescent="0.25">
      <c r="A386" t="s">
        <v>1501</v>
      </c>
      <c r="B386" t="s">
        <v>1502</v>
      </c>
      <c r="C386" t="s">
        <v>23</v>
      </c>
      <c r="D386" t="s">
        <v>26</v>
      </c>
    </row>
    <row r="387" spans="1:4" x14ac:dyDescent="0.25">
      <c r="A387" t="s">
        <v>1504</v>
      </c>
      <c r="B387" t="s">
        <v>1505</v>
      </c>
      <c r="C387" t="s">
        <v>23</v>
      </c>
      <c r="D387" t="s">
        <v>26</v>
      </c>
    </row>
    <row r="388" spans="1:4" x14ac:dyDescent="0.25">
      <c r="A388" t="s">
        <v>1508</v>
      </c>
      <c r="B388" t="s">
        <v>1509</v>
      </c>
      <c r="C388" t="s">
        <v>41</v>
      </c>
      <c r="D388" t="s">
        <v>35</v>
      </c>
    </row>
    <row r="389" spans="1:4" x14ac:dyDescent="0.25">
      <c r="A389" t="s">
        <v>1511</v>
      </c>
      <c r="B389" t="s">
        <v>1512</v>
      </c>
      <c r="C389" t="s">
        <v>32</v>
      </c>
      <c r="D389" t="s">
        <v>26</v>
      </c>
    </row>
    <row r="390" spans="1:4" x14ac:dyDescent="0.25">
      <c r="A390" t="s">
        <v>1515</v>
      </c>
      <c r="B390" t="s">
        <v>1516</v>
      </c>
      <c r="C390" t="s">
        <v>23</v>
      </c>
      <c r="D390" t="s">
        <v>26</v>
      </c>
    </row>
    <row r="391" spans="1:4" x14ac:dyDescent="0.25">
      <c r="A391" t="s">
        <v>1518</v>
      </c>
      <c r="B391" t="s">
        <v>1519</v>
      </c>
      <c r="C391" t="s">
        <v>125</v>
      </c>
      <c r="D391" t="s">
        <v>26</v>
      </c>
    </row>
    <row r="392" spans="1:4" x14ac:dyDescent="0.25">
      <c r="A392" t="s">
        <v>1521</v>
      </c>
      <c r="B392" t="s">
        <v>1522</v>
      </c>
      <c r="C392" t="s">
        <v>34</v>
      </c>
      <c r="D392" t="s">
        <v>26</v>
      </c>
    </row>
    <row r="393" spans="1:4" x14ac:dyDescent="0.25">
      <c r="A393" t="s">
        <v>1525</v>
      </c>
      <c r="B393" t="s">
        <v>1526</v>
      </c>
      <c r="C393" t="s">
        <v>123</v>
      </c>
      <c r="D393" t="s">
        <v>26</v>
      </c>
    </row>
    <row r="394" spans="1:4" x14ac:dyDescent="0.25">
      <c r="A394" t="s">
        <v>1528</v>
      </c>
      <c r="B394" t="s">
        <v>1529</v>
      </c>
      <c r="C394" t="s">
        <v>62</v>
      </c>
      <c r="D394" t="s">
        <v>26</v>
      </c>
    </row>
    <row r="395" spans="1:4" x14ac:dyDescent="0.25">
      <c r="A395" t="s">
        <v>1531</v>
      </c>
      <c r="B395" t="s">
        <v>1532</v>
      </c>
      <c r="C395" t="s">
        <v>23</v>
      </c>
      <c r="D395" t="s">
        <v>26</v>
      </c>
    </row>
    <row r="396" spans="1:4" x14ac:dyDescent="0.25">
      <c r="A396" t="s">
        <v>1535</v>
      </c>
      <c r="B396" t="s">
        <v>1536</v>
      </c>
      <c r="C396" t="s">
        <v>23</v>
      </c>
      <c r="D396" t="s">
        <v>26</v>
      </c>
    </row>
    <row r="397" spans="1:4" x14ac:dyDescent="0.25">
      <c r="A397" t="s">
        <v>1538</v>
      </c>
      <c r="B397" t="s">
        <v>1539</v>
      </c>
      <c r="C397" t="s">
        <v>23</v>
      </c>
      <c r="D397" t="s">
        <v>26</v>
      </c>
    </row>
    <row r="398" spans="1:4" x14ac:dyDescent="0.25">
      <c r="A398" t="s">
        <v>1541</v>
      </c>
      <c r="B398" t="s">
        <v>1542</v>
      </c>
      <c r="C398" t="s">
        <v>23</v>
      </c>
      <c r="D398" t="s">
        <v>35</v>
      </c>
    </row>
    <row r="399" spans="1:4" x14ac:dyDescent="0.25">
      <c r="A399" t="s">
        <v>1545</v>
      </c>
      <c r="B399" t="s">
        <v>1546</v>
      </c>
      <c r="C399" t="s">
        <v>23</v>
      </c>
      <c r="D399" t="s">
        <v>26</v>
      </c>
    </row>
    <row r="400" spans="1:4" x14ac:dyDescent="0.25">
      <c r="A400" t="s">
        <v>1549</v>
      </c>
      <c r="B400" t="s">
        <v>1550</v>
      </c>
      <c r="C400" t="s">
        <v>34</v>
      </c>
      <c r="D400" t="s">
        <v>26</v>
      </c>
    </row>
    <row r="401" spans="1:4" x14ac:dyDescent="0.25">
      <c r="A401" t="s">
        <v>1553</v>
      </c>
      <c r="B401" t="s">
        <v>1554</v>
      </c>
      <c r="C401" t="s">
        <v>23</v>
      </c>
      <c r="D401" t="s">
        <v>26</v>
      </c>
    </row>
    <row r="402" spans="1:4" x14ac:dyDescent="0.25">
      <c r="A402" t="s">
        <v>1556</v>
      </c>
      <c r="B402" t="s">
        <v>1557</v>
      </c>
      <c r="C402" t="s">
        <v>23</v>
      </c>
      <c r="D402" t="s">
        <v>26</v>
      </c>
    </row>
    <row r="403" spans="1:4" x14ac:dyDescent="0.25">
      <c r="A403" t="s">
        <v>1560</v>
      </c>
      <c r="B403" t="s">
        <v>1561</v>
      </c>
      <c r="C403" t="s">
        <v>23</v>
      </c>
      <c r="D403" t="s">
        <v>26</v>
      </c>
    </row>
    <row r="404" spans="1:4" x14ac:dyDescent="0.25">
      <c r="A404" t="s">
        <v>1564</v>
      </c>
      <c r="B404" t="s">
        <v>1565</v>
      </c>
      <c r="C404" t="s">
        <v>32</v>
      </c>
      <c r="D404" t="s">
        <v>26</v>
      </c>
    </row>
    <row r="405" spans="1:4" x14ac:dyDescent="0.25">
      <c r="A405" t="s">
        <v>1568</v>
      </c>
      <c r="B405" t="s">
        <v>1569</v>
      </c>
      <c r="C405" t="s">
        <v>125</v>
      </c>
      <c r="D405" t="s">
        <v>26</v>
      </c>
    </row>
    <row r="406" spans="1:4" x14ac:dyDescent="0.25">
      <c r="A406" t="s">
        <v>1572</v>
      </c>
      <c r="B406" t="s">
        <v>1573</v>
      </c>
      <c r="C406" t="s">
        <v>34</v>
      </c>
      <c r="D406" t="s">
        <v>35</v>
      </c>
    </row>
    <row r="407" spans="1:4" x14ac:dyDescent="0.25">
      <c r="A407" t="s">
        <v>1576</v>
      </c>
      <c r="B407" t="s">
        <v>1577</v>
      </c>
      <c r="C407" t="s">
        <v>125</v>
      </c>
      <c r="D407" t="s">
        <v>26</v>
      </c>
    </row>
    <row r="408" spans="1:4" x14ac:dyDescent="0.25">
      <c r="A408" t="s">
        <v>1580</v>
      </c>
      <c r="B408" t="s">
        <v>1581</v>
      </c>
      <c r="C408" t="s">
        <v>125</v>
      </c>
      <c r="D408" t="s">
        <v>26</v>
      </c>
    </row>
    <row r="409" spans="1:4" x14ac:dyDescent="0.25">
      <c r="A409" t="s">
        <v>1583</v>
      </c>
      <c r="B409" t="s">
        <v>1584</v>
      </c>
      <c r="C409" t="s">
        <v>32</v>
      </c>
      <c r="D409" t="s">
        <v>26</v>
      </c>
    </row>
    <row r="410" spans="1:4" x14ac:dyDescent="0.25">
      <c r="A410" t="s">
        <v>1677</v>
      </c>
      <c r="B410" t="s">
        <v>1622</v>
      </c>
      <c r="C410" t="s">
        <v>1662</v>
      </c>
      <c r="D410" t="s">
        <v>35</v>
      </c>
    </row>
    <row r="411" spans="1:4" x14ac:dyDescent="0.25">
      <c r="A411" t="s">
        <v>1678</v>
      </c>
      <c r="B411" t="s">
        <v>1623</v>
      </c>
      <c r="C411" t="s">
        <v>1662</v>
      </c>
      <c r="D411" t="s">
        <v>26</v>
      </c>
    </row>
    <row r="412" spans="1:4" x14ac:dyDescent="0.25">
      <c r="A412" t="s">
        <v>1679</v>
      </c>
      <c r="B412" t="s">
        <v>1624</v>
      </c>
      <c r="C412" t="s">
        <v>1662</v>
      </c>
      <c r="D412" t="s">
        <v>26</v>
      </c>
    </row>
    <row r="413" spans="1:4" x14ac:dyDescent="0.25">
      <c r="A413" t="s">
        <v>1680</v>
      </c>
      <c r="B413" t="s">
        <v>1625</v>
      </c>
      <c r="C413" t="s">
        <v>1662</v>
      </c>
      <c r="D413" t="s">
        <v>26</v>
      </c>
    </row>
    <row r="414" spans="1:4" x14ac:dyDescent="0.25">
      <c r="A414" t="s">
        <v>1681</v>
      </c>
      <c r="B414" t="s">
        <v>1626</v>
      </c>
      <c r="C414" t="s">
        <v>32</v>
      </c>
      <c r="D414" t="s">
        <v>26</v>
      </c>
    </row>
    <row r="415" spans="1:4" x14ac:dyDescent="0.25">
      <c r="A415" t="s">
        <v>1682</v>
      </c>
      <c r="B415" t="s">
        <v>1627</v>
      </c>
      <c r="C415" t="s">
        <v>125</v>
      </c>
      <c r="D415" t="s">
        <v>26</v>
      </c>
    </row>
    <row r="416" spans="1:4" x14ac:dyDescent="0.25">
      <c r="A416" t="s">
        <v>1683</v>
      </c>
      <c r="B416" t="s">
        <v>1628</v>
      </c>
      <c r="C416" t="s">
        <v>125</v>
      </c>
      <c r="D416" t="s">
        <v>26</v>
      </c>
    </row>
    <row r="417" spans="1:4" x14ac:dyDescent="0.25">
      <c r="A417" t="s">
        <v>1684</v>
      </c>
      <c r="B417" t="s">
        <v>1629</v>
      </c>
      <c r="C417" t="s">
        <v>32</v>
      </c>
      <c r="D417" t="s">
        <v>26</v>
      </c>
    </row>
    <row r="418" spans="1:4" x14ac:dyDescent="0.25">
      <c r="A418" t="s">
        <v>1685</v>
      </c>
      <c r="B418" t="s">
        <v>1630</v>
      </c>
      <c r="C418" t="s">
        <v>125</v>
      </c>
      <c r="D418" t="s">
        <v>26</v>
      </c>
    </row>
    <row r="419" spans="1:4" x14ac:dyDescent="0.25">
      <c r="A419" t="s">
        <v>1686</v>
      </c>
      <c r="B419" t="s">
        <v>1631</v>
      </c>
      <c r="C419" t="s">
        <v>32</v>
      </c>
      <c r="D419" t="s">
        <v>26</v>
      </c>
    </row>
    <row r="420" spans="1:4" x14ac:dyDescent="0.25">
      <c r="A420" t="s">
        <v>1687</v>
      </c>
      <c r="B420" t="s">
        <v>1632</v>
      </c>
      <c r="C420" t="s">
        <v>1662</v>
      </c>
      <c r="D420" t="s">
        <v>26</v>
      </c>
    </row>
    <row r="421" spans="1:4" x14ac:dyDescent="0.25">
      <c r="A421" t="s">
        <v>1688</v>
      </c>
      <c r="B421" t="s">
        <v>1633</v>
      </c>
      <c r="C421" t="s">
        <v>1662</v>
      </c>
      <c r="D421" t="s">
        <v>35</v>
      </c>
    </row>
    <row r="422" spans="1:4" x14ac:dyDescent="0.25">
      <c r="A422" t="s">
        <v>1689</v>
      </c>
      <c r="B422" t="s">
        <v>1634</v>
      </c>
      <c r="C422" t="s">
        <v>125</v>
      </c>
      <c r="D422" t="s">
        <v>26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08F1-18CB-4BE7-A894-546002330F4D}">
  <dimension ref="A3:G134"/>
  <sheetViews>
    <sheetView topLeftCell="A87" workbookViewId="0">
      <selection activeCell="E123" sqref="E123"/>
    </sheetView>
  </sheetViews>
  <sheetFormatPr baseColWidth="10" defaultRowHeight="15" x14ac:dyDescent="0.25"/>
  <sheetData>
    <row r="3" spans="1:7" x14ac:dyDescent="0.25">
      <c r="A3" t="s">
        <v>49</v>
      </c>
      <c r="E3" t="s">
        <v>33</v>
      </c>
      <c r="G3">
        <f>COUNTA(E3:E123)</f>
        <v>121</v>
      </c>
    </row>
    <row r="4" spans="1:7" x14ac:dyDescent="0.25">
      <c r="A4" t="s">
        <v>54</v>
      </c>
      <c r="E4" t="s">
        <v>33</v>
      </c>
    </row>
    <row r="5" spans="1:7" x14ac:dyDescent="0.25">
      <c r="A5" t="s">
        <v>84</v>
      </c>
      <c r="E5" t="s">
        <v>33</v>
      </c>
    </row>
    <row r="6" spans="1:7" x14ac:dyDescent="0.25">
      <c r="A6" t="s">
        <v>98</v>
      </c>
      <c r="E6" t="s">
        <v>33</v>
      </c>
    </row>
    <row r="7" spans="1:7" x14ac:dyDescent="0.25">
      <c r="A7" t="s">
        <v>111</v>
      </c>
      <c r="E7" t="s">
        <v>33</v>
      </c>
    </row>
    <row r="8" spans="1:7" x14ac:dyDescent="0.25">
      <c r="A8" t="s">
        <v>115</v>
      </c>
      <c r="E8" t="s">
        <v>33</v>
      </c>
    </row>
    <row r="9" spans="1:7" x14ac:dyDescent="0.25">
      <c r="A9" t="s">
        <v>142</v>
      </c>
      <c r="E9" t="s">
        <v>33</v>
      </c>
    </row>
    <row r="10" spans="1:7" x14ac:dyDescent="0.25">
      <c r="A10" t="s">
        <v>156</v>
      </c>
      <c r="E10" t="s">
        <v>33</v>
      </c>
    </row>
    <row r="11" spans="1:7" x14ac:dyDescent="0.25">
      <c r="A11" t="s">
        <v>164</v>
      </c>
      <c r="E11" t="s">
        <v>33</v>
      </c>
    </row>
    <row r="12" spans="1:7" x14ac:dyDescent="0.25">
      <c r="A12" t="s">
        <v>173</v>
      </c>
      <c r="E12" t="s">
        <v>33</v>
      </c>
    </row>
    <row r="13" spans="1:7" x14ac:dyDescent="0.25">
      <c r="A13" t="s">
        <v>177</v>
      </c>
      <c r="E13" t="s">
        <v>33</v>
      </c>
    </row>
    <row r="14" spans="1:7" x14ac:dyDescent="0.25">
      <c r="A14" t="s">
        <v>192</v>
      </c>
      <c r="E14" t="s">
        <v>33</v>
      </c>
    </row>
    <row r="15" spans="1:7" x14ac:dyDescent="0.25">
      <c r="A15" t="s">
        <v>197</v>
      </c>
      <c r="E15" t="s">
        <v>33</v>
      </c>
    </row>
    <row r="16" spans="1:7" x14ac:dyDescent="0.25">
      <c r="A16" t="s">
        <v>211</v>
      </c>
      <c r="E16" t="s">
        <v>33</v>
      </c>
    </row>
    <row r="17" spans="1:5" x14ac:dyDescent="0.25">
      <c r="A17" t="s">
        <v>267</v>
      </c>
      <c r="E17" t="s">
        <v>33</v>
      </c>
    </row>
    <row r="18" spans="1:5" x14ac:dyDescent="0.25">
      <c r="A18" t="s">
        <v>271</v>
      </c>
      <c r="E18" t="s">
        <v>33</v>
      </c>
    </row>
    <row r="19" spans="1:5" x14ac:dyDescent="0.25">
      <c r="A19" t="s">
        <v>279</v>
      </c>
      <c r="E19" t="s">
        <v>33</v>
      </c>
    </row>
    <row r="20" spans="1:5" x14ac:dyDescent="0.25">
      <c r="A20" t="s">
        <v>297</v>
      </c>
      <c r="E20" t="s">
        <v>33</v>
      </c>
    </row>
    <row r="21" spans="1:5" x14ac:dyDescent="0.25">
      <c r="A21" t="s">
        <v>310</v>
      </c>
      <c r="E21" t="s">
        <v>33</v>
      </c>
    </row>
    <row r="22" spans="1:5" x14ac:dyDescent="0.25">
      <c r="A22" t="s">
        <v>318</v>
      </c>
      <c r="E22" t="s">
        <v>33</v>
      </c>
    </row>
    <row r="23" spans="1:5" x14ac:dyDescent="0.25">
      <c r="A23" t="s">
        <v>343</v>
      </c>
      <c r="E23" t="s">
        <v>33</v>
      </c>
    </row>
    <row r="24" spans="1:5" x14ac:dyDescent="0.25">
      <c r="A24" t="s">
        <v>359</v>
      </c>
      <c r="E24" t="s">
        <v>33</v>
      </c>
    </row>
    <row r="25" spans="1:5" x14ac:dyDescent="0.25">
      <c r="A25" t="s">
        <v>384</v>
      </c>
      <c r="E25" t="s">
        <v>33</v>
      </c>
    </row>
    <row r="26" spans="1:5" x14ac:dyDescent="0.25">
      <c r="A26" t="s">
        <v>388</v>
      </c>
      <c r="E26" t="s">
        <v>33</v>
      </c>
    </row>
    <row r="27" spans="1:5" x14ac:dyDescent="0.25">
      <c r="A27" t="s">
        <v>406</v>
      </c>
      <c r="E27" t="s">
        <v>33</v>
      </c>
    </row>
    <row r="28" spans="1:5" x14ac:dyDescent="0.25">
      <c r="A28" t="s">
        <v>414</v>
      </c>
      <c r="E28" t="s">
        <v>33</v>
      </c>
    </row>
    <row r="29" spans="1:5" x14ac:dyDescent="0.25">
      <c r="A29" t="s">
        <v>419</v>
      </c>
      <c r="E29" t="s">
        <v>33</v>
      </c>
    </row>
    <row r="30" spans="1:5" x14ac:dyDescent="0.25">
      <c r="A30" t="s">
        <v>426</v>
      </c>
      <c r="E30" t="s">
        <v>33</v>
      </c>
    </row>
    <row r="31" spans="1:5" x14ac:dyDescent="0.25">
      <c r="A31" t="s">
        <v>445</v>
      </c>
      <c r="E31" t="s">
        <v>33</v>
      </c>
    </row>
    <row r="32" spans="1:5" x14ac:dyDescent="0.25">
      <c r="A32" t="s">
        <v>485</v>
      </c>
      <c r="E32" t="s">
        <v>33</v>
      </c>
    </row>
    <row r="33" spans="1:5" x14ac:dyDescent="0.25">
      <c r="A33" t="s">
        <v>494</v>
      </c>
      <c r="E33" t="s">
        <v>33</v>
      </c>
    </row>
    <row r="34" spans="1:5" x14ac:dyDescent="0.25">
      <c r="A34" t="s">
        <v>513</v>
      </c>
      <c r="E34" t="s">
        <v>33</v>
      </c>
    </row>
    <row r="35" spans="1:5" x14ac:dyDescent="0.25">
      <c r="A35" t="s">
        <v>517</v>
      </c>
      <c r="E35" t="s">
        <v>33</v>
      </c>
    </row>
    <row r="36" spans="1:5" x14ac:dyDescent="0.25">
      <c r="A36" t="s">
        <v>520</v>
      </c>
      <c r="E36" t="s">
        <v>33</v>
      </c>
    </row>
    <row r="37" spans="1:5" x14ac:dyDescent="0.25">
      <c r="A37" t="s">
        <v>583</v>
      </c>
      <c r="E37" t="s">
        <v>33</v>
      </c>
    </row>
    <row r="38" spans="1:5" x14ac:dyDescent="0.25">
      <c r="A38" t="s">
        <v>594</v>
      </c>
      <c r="E38" t="s">
        <v>33</v>
      </c>
    </row>
    <row r="39" spans="1:5" x14ac:dyDescent="0.25">
      <c r="A39" t="s">
        <v>598</v>
      </c>
      <c r="E39" t="s">
        <v>33</v>
      </c>
    </row>
    <row r="40" spans="1:5" x14ac:dyDescent="0.25">
      <c r="A40" t="s">
        <v>602</v>
      </c>
      <c r="E40" t="s">
        <v>33</v>
      </c>
    </row>
    <row r="41" spans="1:5" x14ac:dyDescent="0.25">
      <c r="A41" t="s">
        <v>610</v>
      </c>
      <c r="E41" t="s">
        <v>33</v>
      </c>
    </row>
    <row r="42" spans="1:5" x14ac:dyDescent="0.25">
      <c r="A42" t="s">
        <v>642</v>
      </c>
      <c r="E42" t="s">
        <v>33</v>
      </c>
    </row>
    <row r="43" spans="1:5" x14ac:dyDescent="0.25">
      <c r="A43" t="s">
        <v>654</v>
      </c>
      <c r="E43" t="s">
        <v>33</v>
      </c>
    </row>
    <row r="44" spans="1:5" x14ac:dyDescent="0.25">
      <c r="A44" t="s">
        <v>657</v>
      </c>
      <c r="E44" t="s">
        <v>33</v>
      </c>
    </row>
    <row r="45" spans="1:5" x14ac:dyDescent="0.25">
      <c r="A45" t="s">
        <v>676</v>
      </c>
      <c r="E45" t="s">
        <v>33</v>
      </c>
    </row>
    <row r="46" spans="1:5" x14ac:dyDescent="0.25">
      <c r="A46" t="s">
        <v>679</v>
      </c>
      <c r="E46" t="s">
        <v>33</v>
      </c>
    </row>
    <row r="47" spans="1:5" x14ac:dyDescent="0.25">
      <c r="A47" t="s">
        <v>702</v>
      </c>
      <c r="E47" t="s">
        <v>33</v>
      </c>
    </row>
    <row r="48" spans="1:5" x14ac:dyDescent="0.25">
      <c r="A48" t="s">
        <v>706</v>
      </c>
      <c r="E48" t="s">
        <v>33</v>
      </c>
    </row>
    <row r="49" spans="1:5" x14ac:dyDescent="0.25">
      <c r="A49" t="s">
        <v>709</v>
      </c>
      <c r="E49" t="s">
        <v>33</v>
      </c>
    </row>
    <row r="50" spans="1:5" x14ac:dyDescent="0.25">
      <c r="A50" t="s">
        <v>1681</v>
      </c>
      <c r="E50" t="s">
        <v>33</v>
      </c>
    </row>
    <row r="51" spans="1:5" x14ac:dyDescent="0.25">
      <c r="A51" t="s">
        <v>723</v>
      </c>
      <c r="E51" t="s">
        <v>33</v>
      </c>
    </row>
    <row r="52" spans="1:5" x14ac:dyDescent="0.25">
      <c r="A52" t="s">
        <v>734</v>
      </c>
      <c r="E52" t="s">
        <v>33</v>
      </c>
    </row>
    <row r="53" spans="1:5" x14ac:dyDescent="0.25">
      <c r="A53" t="s">
        <v>761</v>
      </c>
      <c r="E53" t="s">
        <v>33</v>
      </c>
    </row>
    <row r="54" spans="1:5" x14ac:dyDescent="0.25">
      <c r="A54" t="s">
        <v>774</v>
      </c>
      <c r="E54" t="s">
        <v>33</v>
      </c>
    </row>
    <row r="55" spans="1:5" x14ac:dyDescent="0.25">
      <c r="A55" t="s">
        <v>781</v>
      </c>
      <c r="E55" t="s">
        <v>33</v>
      </c>
    </row>
    <row r="56" spans="1:5" x14ac:dyDescent="0.25">
      <c r="A56" t="s">
        <v>792</v>
      </c>
      <c r="E56" t="s">
        <v>33</v>
      </c>
    </row>
    <row r="57" spans="1:5" x14ac:dyDescent="0.25">
      <c r="A57" t="s">
        <v>800</v>
      </c>
      <c r="E57" t="s">
        <v>33</v>
      </c>
    </row>
    <row r="58" spans="1:5" x14ac:dyDescent="0.25">
      <c r="A58" t="s">
        <v>820</v>
      </c>
      <c r="E58" t="s">
        <v>33</v>
      </c>
    </row>
    <row r="59" spans="1:5" x14ac:dyDescent="0.25">
      <c r="A59" t="s">
        <v>824</v>
      </c>
      <c r="E59" t="s">
        <v>33</v>
      </c>
    </row>
    <row r="60" spans="1:5" x14ac:dyDescent="0.25">
      <c r="A60" t="s">
        <v>827</v>
      </c>
      <c r="E60" t="s">
        <v>33</v>
      </c>
    </row>
    <row r="61" spans="1:5" x14ac:dyDescent="0.25">
      <c r="A61" t="s">
        <v>838</v>
      </c>
      <c r="E61" t="s">
        <v>33</v>
      </c>
    </row>
    <row r="62" spans="1:5" x14ac:dyDescent="0.25">
      <c r="A62" t="s">
        <v>845</v>
      </c>
      <c r="E62" t="s">
        <v>33</v>
      </c>
    </row>
    <row r="63" spans="1:5" x14ac:dyDescent="0.25">
      <c r="A63" t="s">
        <v>849</v>
      </c>
      <c r="E63" t="s">
        <v>33</v>
      </c>
    </row>
    <row r="64" spans="1:5" x14ac:dyDescent="0.25">
      <c r="A64" t="s">
        <v>866</v>
      </c>
      <c r="E64" t="s">
        <v>33</v>
      </c>
    </row>
    <row r="65" spans="1:5" x14ac:dyDescent="0.25">
      <c r="A65" t="s">
        <v>889</v>
      </c>
      <c r="E65" t="s">
        <v>33</v>
      </c>
    </row>
    <row r="66" spans="1:5" x14ac:dyDescent="0.25">
      <c r="A66" t="s">
        <v>901</v>
      </c>
      <c r="E66" t="s">
        <v>33</v>
      </c>
    </row>
    <row r="67" spans="1:5" x14ac:dyDescent="0.25">
      <c r="A67" t="s">
        <v>905</v>
      </c>
      <c r="E67" t="s">
        <v>33</v>
      </c>
    </row>
    <row r="68" spans="1:5" x14ac:dyDescent="0.25">
      <c r="A68" t="s">
        <v>925</v>
      </c>
      <c r="E68" t="s">
        <v>33</v>
      </c>
    </row>
    <row r="69" spans="1:5" x14ac:dyDescent="0.25">
      <c r="A69" t="s">
        <v>929</v>
      </c>
      <c r="E69" t="s">
        <v>33</v>
      </c>
    </row>
    <row r="70" spans="1:5" x14ac:dyDescent="0.25">
      <c r="A70" t="s">
        <v>933</v>
      </c>
      <c r="E70" t="s">
        <v>33</v>
      </c>
    </row>
    <row r="71" spans="1:5" x14ac:dyDescent="0.25">
      <c r="A71" t="s">
        <v>944</v>
      </c>
      <c r="E71" t="s">
        <v>33</v>
      </c>
    </row>
    <row r="72" spans="1:5" x14ac:dyDescent="0.25">
      <c r="A72" t="s">
        <v>948</v>
      </c>
      <c r="E72" t="s">
        <v>33</v>
      </c>
    </row>
    <row r="73" spans="1:5" x14ac:dyDescent="0.25">
      <c r="A73" t="s">
        <v>959</v>
      </c>
      <c r="E73" t="s">
        <v>33</v>
      </c>
    </row>
    <row r="74" spans="1:5" x14ac:dyDescent="0.25">
      <c r="A74" t="s">
        <v>967</v>
      </c>
      <c r="E74" t="s">
        <v>33</v>
      </c>
    </row>
    <row r="75" spans="1:5" x14ac:dyDescent="0.25">
      <c r="A75" t="s">
        <v>982</v>
      </c>
      <c r="E75" t="s">
        <v>33</v>
      </c>
    </row>
    <row r="76" spans="1:5" x14ac:dyDescent="0.25">
      <c r="A76" t="s">
        <v>997</v>
      </c>
      <c r="E76" t="s">
        <v>33</v>
      </c>
    </row>
    <row r="77" spans="1:5" x14ac:dyDescent="0.25">
      <c r="A77" t="s">
        <v>1001</v>
      </c>
      <c r="E77" t="s">
        <v>33</v>
      </c>
    </row>
    <row r="78" spans="1:5" x14ac:dyDescent="0.25">
      <c r="A78" t="s">
        <v>1012</v>
      </c>
      <c r="E78" t="s">
        <v>33</v>
      </c>
    </row>
    <row r="79" spans="1:5" x14ac:dyDescent="0.25">
      <c r="A79" t="s">
        <v>1016</v>
      </c>
      <c r="E79" t="s">
        <v>33</v>
      </c>
    </row>
    <row r="80" spans="1:5" x14ac:dyDescent="0.25">
      <c r="A80" t="s">
        <v>1023</v>
      </c>
      <c r="E80" t="s">
        <v>33</v>
      </c>
    </row>
    <row r="81" spans="1:5" x14ac:dyDescent="0.25">
      <c r="A81" t="s">
        <v>1040</v>
      </c>
      <c r="E81" t="s">
        <v>33</v>
      </c>
    </row>
    <row r="82" spans="1:5" x14ac:dyDescent="0.25">
      <c r="A82" t="s">
        <v>1043</v>
      </c>
      <c r="E82" t="s">
        <v>33</v>
      </c>
    </row>
    <row r="83" spans="1:5" x14ac:dyDescent="0.25">
      <c r="A83" t="s">
        <v>1084</v>
      </c>
      <c r="E83" t="s">
        <v>33</v>
      </c>
    </row>
    <row r="84" spans="1:5" x14ac:dyDescent="0.25">
      <c r="A84" t="s">
        <v>1087</v>
      </c>
      <c r="E84" t="s">
        <v>33</v>
      </c>
    </row>
    <row r="85" spans="1:5" x14ac:dyDescent="0.25">
      <c r="A85" t="s">
        <v>1101</v>
      </c>
      <c r="E85" t="s">
        <v>33</v>
      </c>
    </row>
    <row r="86" spans="1:5" x14ac:dyDescent="0.25">
      <c r="A86" t="s">
        <v>1122</v>
      </c>
      <c r="E86" t="s">
        <v>33</v>
      </c>
    </row>
    <row r="87" spans="1:5" x14ac:dyDescent="0.25">
      <c r="A87" t="s">
        <v>1126</v>
      </c>
      <c r="E87" t="s">
        <v>33</v>
      </c>
    </row>
    <row r="88" spans="1:5" x14ac:dyDescent="0.25">
      <c r="A88" t="s">
        <v>1135</v>
      </c>
      <c r="E88" t="s">
        <v>33</v>
      </c>
    </row>
    <row r="89" spans="1:5" x14ac:dyDescent="0.25">
      <c r="A89" t="s">
        <v>1155</v>
      </c>
      <c r="E89" t="s">
        <v>33</v>
      </c>
    </row>
    <row r="90" spans="1:5" x14ac:dyDescent="0.25">
      <c r="A90" t="s">
        <v>1158</v>
      </c>
      <c r="E90" t="s">
        <v>33</v>
      </c>
    </row>
    <row r="91" spans="1:5" x14ac:dyDescent="0.25">
      <c r="A91" t="s">
        <v>1162</v>
      </c>
      <c r="E91" t="s">
        <v>33</v>
      </c>
    </row>
    <row r="92" spans="1:5" x14ac:dyDescent="0.25">
      <c r="A92" t="s">
        <v>1166</v>
      </c>
      <c r="E92" t="s">
        <v>33</v>
      </c>
    </row>
    <row r="93" spans="1:5" x14ac:dyDescent="0.25">
      <c r="A93" t="s">
        <v>1176</v>
      </c>
      <c r="E93" t="s">
        <v>33</v>
      </c>
    </row>
    <row r="94" spans="1:5" x14ac:dyDescent="0.25">
      <c r="A94" t="s">
        <v>1197</v>
      </c>
      <c r="E94" t="s">
        <v>33</v>
      </c>
    </row>
    <row r="95" spans="1:5" x14ac:dyDescent="0.25">
      <c r="A95" t="s">
        <v>1201</v>
      </c>
      <c r="E95" t="s">
        <v>33</v>
      </c>
    </row>
    <row r="96" spans="1:5" x14ac:dyDescent="0.25">
      <c r="A96" t="s">
        <v>1208</v>
      </c>
      <c r="E96" t="s">
        <v>33</v>
      </c>
    </row>
    <row r="97" spans="1:5" x14ac:dyDescent="0.25">
      <c r="A97" t="s">
        <v>1219</v>
      </c>
      <c r="E97" t="s">
        <v>33</v>
      </c>
    </row>
    <row r="98" spans="1:5" x14ac:dyDescent="0.25">
      <c r="A98" t="s">
        <v>1223</v>
      </c>
      <c r="E98" t="s">
        <v>33</v>
      </c>
    </row>
    <row r="99" spans="1:5" x14ac:dyDescent="0.25">
      <c r="A99" t="s">
        <v>1231</v>
      </c>
      <c r="E99" t="s">
        <v>33</v>
      </c>
    </row>
    <row r="100" spans="1:5" x14ac:dyDescent="0.25">
      <c r="A100" t="s">
        <v>1686</v>
      </c>
      <c r="E100" t="s">
        <v>33</v>
      </c>
    </row>
    <row r="101" spans="1:5" x14ac:dyDescent="0.25">
      <c r="A101" t="s">
        <v>1251</v>
      </c>
      <c r="E101" t="s">
        <v>33</v>
      </c>
    </row>
    <row r="102" spans="1:5" x14ac:dyDescent="0.25">
      <c r="A102" t="s">
        <v>1270</v>
      </c>
      <c r="E102" t="s">
        <v>33</v>
      </c>
    </row>
    <row r="103" spans="1:5" x14ac:dyDescent="0.25">
      <c r="A103" t="s">
        <v>1273</v>
      </c>
      <c r="E103" t="s">
        <v>33</v>
      </c>
    </row>
    <row r="104" spans="1:5" x14ac:dyDescent="0.25">
      <c r="A104" t="s">
        <v>1290</v>
      </c>
      <c r="E104" t="s">
        <v>33</v>
      </c>
    </row>
    <row r="105" spans="1:5" x14ac:dyDescent="0.25">
      <c r="A105" t="s">
        <v>1294</v>
      </c>
      <c r="E105" t="s">
        <v>33</v>
      </c>
    </row>
    <row r="106" spans="1:5" x14ac:dyDescent="0.25">
      <c r="A106" t="s">
        <v>1301</v>
      </c>
      <c r="E106" t="s">
        <v>33</v>
      </c>
    </row>
    <row r="107" spans="1:5" x14ac:dyDescent="0.25">
      <c r="A107" t="s">
        <v>1304</v>
      </c>
      <c r="E107" t="s">
        <v>33</v>
      </c>
    </row>
    <row r="108" spans="1:5" x14ac:dyDescent="0.25">
      <c r="A108" t="s">
        <v>1311</v>
      </c>
      <c r="E108" t="s">
        <v>33</v>
      </c>
    </row>
    <row r="109" spans="1:5" x14ac:dyDescent="0.25">
      <c r="A109" t="s">
        <v>1320</v>
      </c>
      <c r="E109" t="s">
        <v>33</v>
      </c>
    </row>
    <row r="110" spans="1:5" x14ac:dyDescent="0.25">
      <c r="A110" t="s">
        <v>1330</v>
      </c>
      <c r="E110" t="s">
        <v>33</v>
      </c>
    </row>
    <row r="111" spans="1:5" x14ac:dyDescent="0.25">
      <c r="A111" t="s">
        <v>1338</v>
      </c>
      <c r="E111" t="s">
        <v>33</v>
      </c>
    </row>
    <row r="112" spans="1:5" x14ac:dyDescent="0.25">
      <c r="A112" t="s">
        <v>1347</v>
      </c>
      <c r="E112" t="s">
        <v>33</v>
      </c>
    </row>
    <row r="113" spans="1:5" x14ac:dyDescent="0.25">
      <c r="A113" t="s">
        <v>1351</v>
      </c>
      <c r="E113" t="s">
        <v>33</v>
      </c>
    </row>
    <row r="114" spans="1:5" x14ac:dyDescent="0.25">
      <c r="A114" t="s">
        <v>1366</v>
      </c>
      <c r="E114" t="s">
        <v>33</v>
      </c>
    </row>
    <row r="115" spans="1:5" x14ac:dyDescent="0.25">
      <c r="A115" t="s">
        <v>1374</v>
      </c>
      <c r="E115" t="s">
        <v>33</v>
      </c>
    </row>
    <row r="116" spans="1:5" x14ac:dyDescent="0.25">
      <c r="A116" t="s">
        <v>1377</v>
      </c>
      <c r="E116" t="s">
        <v>33</v>
      </c>
    </row>
    <row r="117" spans="1:5" x14ac:dyDescent="0.25">
      <c r="A117" t="s">
        <v>1387</v>
      </c>
      <c r="E117" t="s">
        <v>33</v>
      </c>
    </row>
    <row r="118" spans="1:5" x14ac:dyDescent="0.25">
      <c r="A118" t="s">
        <v>1404</v>
      </c>
      <c r="E118" t="s">
        <v>33</v>
      </c>
    </row>
    <row r="119" spans="1:5" x14ac:dyDescent="0.25">
      <c r="A119" t="s">
        <v>1417</v>
      </c>
      <c r="E119" t="s">
        <v>33</v>
      </c>
    </row>
    <row r="120" spans="1:5" x14ac:dyDescent="0.25">
      <c r="A120" t="s">
        <v>1421</v>
      </c>
      <c r="E120" t="s">
        <v>33</v>
      </c>
    </row>
    <row r="121" spans="1:5" x14ac:dyDescent="0.25">
      <c r="A121" t="s">
        <v>1436</v>
      </c>
      <c r="E121" t="s">
        <v>33</v>
      </c>
    </row>
    <row r="122" spans="1:5" x14ac:dyDescent="0.25">
      <c r="A122" t="s">
        <v>1440</v>
      </c>
      <c r="E122" t="s">
        <v>33</v>
      </c>
    </row>
    <row r="123" spans="1:5" x14ac:dyDescent="0.25">
      <c r="A123" t="s">
        <v>1453</v>
      </c>
      <c r="E123" t="s">
        <v>33</v>
      </c>
    </row>
    <row r="124" spans="1:5" x14ac:dyDescent="0.25">
      <c r="A124" t="s">
        <v>1456</v>
      </c>
    </row>
    <row r="125" spans="1:5" x14ac:dyDescent="0.25">
      <c r="A125" t="s">
        <v>1460</v>
      </c>
    </row>
    <row r="126" spans="1:5" x14ac:dyDescent="0.25">
      <c r="A126" t="s">
        <v>1466</v>
      </c>
    </row>
    <row r="127" spans="1:5" x14ac:dyDescent="0.25">
      <c r="A127" t="s">
        <v>1473</v>
      </c>
    </row>
    <row r="128" spans="1:5" x14ac:dyDescent="0.25">
      <c r="A128" t="s">
        <v>1477</v>
      </c>
    </row>
    <row r="129" spans="1:1" x14ac:dyDescent="0.25">
      <c r="A129" t="s">
        <v>1484</v>
      </c>
    </row>
    <row r="130" spans="1:1" x14ac:dyDescent="0.25">
      <c r="A130" t="s">
        <v>1497</v>
      </c>
    </row>
    <row r="131" spans="1:1" x14ac:dyDescent="0.25">
      <c r="A131" t="s">
        <v>1684</v>
      </c>
    </row>
    <row r="132" spans="1:1" x14ac:dyDescent="0.25">
      <c r="A132" t="s">
        <v>1511</v>
      </c>
    </row>
    <row r="133" spans="1:1" x14ac:dyDescent="0.25">
      <c r="A133" t="s">
        <v>1564</v>
      </c>
    </row>
    <row r="134" spans="1:1" x14ac:dyDescent="0.25">
      <c r="A134" t="s">
        <v>1583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6776B-9891-4CB4-A566-2BF7FD09DA92}">
  <dimension ref="A1:M38"/>
  <sheetViews>
    <sheetView topLeftCell="E1" zoomScale="90" zoomScaleNormal="90" workbookViewId="0">
      <selection activeCell="I26" sqref="I26:I38"/>
    </sheetView>
  </sheetViews>
  <sheetFormatPr baseColWidth="10" defaultRowHeight="15" x14ac:dyDescent="0.25"/>
  <cols>
    <col min="1" max="1" width="14.85546875" customWidth="1"/>
    <col min="2" max="2" width="7.5703125" customWidth="1"/>
    <col min="3" max="3" width="28.85546875" hidden="1" customWidth="1"/>
    <col min="4" max="4" width="21" hidden="1" customWidth="1"/>
    <col min="5" max="5" width="41.5703125" bestFit="1" customWidth="1"/>
    <col min="6" max="6" width="11.5703125" hidden="1" customWidth="1"/>
    <col min="7" max="7" width="15.85546875" hidden="1" customWidth="1"/>
    <col min="8" max="8" width="58.140625" bestFit="1" customWidth="1"/>
    <col min="9" max="9" width="10.140625" bestFit="1" customWidth="1"/>
    <col min="10" max="10" width="21.7109375" hidden="1" customWidth="1"/>
    <col min="11" max="11" width="19" hidden="1" customWidth="1"/>
    <col min="12" max="12" width="19.7109375" customWidth="1"/>
    <col min="13" max="13" width="39.5703125" bestFit="1" customWidth="1"/>
  </cols>
  <sheetData>
    <row r="1" spans="1:13" x14ac:dyDescent="0.25">
      <c r="A1" t="s">
        <v>1588</v>
      </c>
      <c r="B1" t="s">
        <v>1645</v>
      </c>
      <c r="C1" t="s">
        <v>1599</v>
      </c>
      <c r="D1" t="s">
        <v>1613</v>
      </c>
      <c r="E1" t="s">
        <v>1589</v>
      </c>
      <c r="F1" t="s">
        <v>1663</v>
      </c>
      <c r="G1" t="s">
        <v>1595</v>
      </c>
      <c r="H1" t="s">
        <v>1594</v>
      </c>
      <c r="I1" t="s">
        <v>1597</v>
      </c>
      <c r="J1" t="s">
        <v>1590</v>
      </c>
      <c r="K1" t="s">
        <v>1591</v>
      </c>
      <c r="L1" t="s">
        <v>1593</v>
      </c>
      <c r="M1" t="s">
        <v>1592</v>
      </c>
    </row>
    <row r="2" spans="1:13" x14ac:dyDescent="0.25">
      <c r="A2" t="s">
        <v>623</v>
      </c>
      <c r="B2" t="s">
        <v>1647</v>
      </c>
      <c r="C2" t="s">
        <v>622</v>
      </c>
      <c r="D2" t="s">
        <v>621</v>
      </c>
      <c r="E2" t="str">
        <f>_xlfn.CONCAT(Tabla2[[#This Row],[APELLIDOS_DIPUTADOS]],", ",Tabla2[[#This Row],[NOMBRE_DIPUTADO]])</f>
        <v>Gil de Reboleño Lastortres, Esther</v>
      </c>
      <c r="F2" t="s">
        <v>1665</v>
      </c>
      <c r="G2" t="s">
        <v>1667</v>
      </c>
      <c r="H2" t="s">
        <v>1671</v>
      </c>
      <c r="I2" t="s">
        <v>26</v>
      </c>
      <c r="J2" s="3">
        <v>45155</v>
      </c>
      <c r="K2" t="s">
        <v>25</v>
      </c>
      <c r="L2" t="s">
        <v>124</v>
      </c>
      <c r="M2" t="s">
        <v>125</v>
      </c>
    </row>
    <row r="3" spans="1:13" x14ac:dyDescent="0.25">
      <c r="A3" t="s">
        <v>669</v>
      </c>
      <c r="B3" t="s">
        <v>1647</v>
      </c>
      <c r="C3" t="s">
        <v>668</v>
      </c>
      <c r="D3" t="s">
        <v>667</v>
      </c>
      <c r="E3" t="str">
        <f>_xlfn.CONCAT(Tabla2[[#This Row],[APELLIDOS_DIPUTADOS]],", ",Tabla2[[#This Row],[NOMBRE_DIPUTADO]])</f>
        <v>González Vázquez, Marta</v>
      </c>
      <c r="F3" t="s">
        <v>1665</v>
      </c>
      <c r="G3" t="s">
        <v>1667</v>
      </c>
      <c r="H3" t="s">
        <v>1672</v>
      </c>
      <c r="I3" t="s">
        <v>26</v>
      </c>
      <c r="J3" s="3">
        <v>45155</v>
      </c>
      <c r="K3" t="s">
        <v>25</v>
      </c>
      <c r="L3" t="s">
        <v>24</v>
      </c>
      <c r="M3" t="s">
        <v>23</v>
      </c>
    </row>
    <row r="4" spans="1:13" x14ac:dyDescent="0.25">
      <c r="A4" t="s">
        <v>679</v>
      </c>
      <c r="B4" t="s">
        <v>1646</v>
      </c>
      <c r="C4" t="s">
        <v>678</v>
      </c>
      <c r="D4" t="str">
        <f>_xlfn.XLOOKUP(C4,Tabla1[APELLIDOS],Tabla1[NOMBRE],"",0)</f>
        <v>Fernando</v>
      </c>
      <c r="E4" t="s">
        <v>680</v>
      </c>
      <c r="F4" t="s">
        <v>1664</v>
      </c>
      <c r="G4" t="s">
        <v>1587</v>
      </c>
      <c r="H4" t="s">
        <v>1639</v>
      </c>
      <c r="I4" t="s">
        <v>26</v>
      </c>
      <c r="J4" s="3">
        <v>45251</v>
      </c>
      <c r="K4" t="s">
        <v>25</v>
      </c>
      <c r="L4" t="s">
        <v>33</v>
      </c>
      <c r="M4" t="s">
        <v>32</v>
      </c>
    </row>
    <row r="5" spans="1:13" x14ac:dyDescent="0.25">
      <c r="A5" t="s">
        <v>800</v>
      </c>
      <c r="B5" t="s">
        <v>1647</v>
      </c>
      <c r="C5" t="s">
        <v>799</v>
      </c>
      <c r="D5" t="s">
        <v>798</v>
      </c>
      <c r="E5" t="str">
        <f>_xlfn.CONCAT(Tabla2[[#This Row],[APELLIDOS_DIPUTADOS]],", ",Tabla2[[#This Row],[NOMBRE_DIPUTADO]])</f>
        <v>Leal Fernández, Isaura</v>
      </c>
      <c r="F5" t="s">
        <v>1665</v>
      </c>
      <c r="G5" t="s">
        <v>1668</v>
      </c>
      <c r="H5" t="s">
        <v>1674</v>
      </c>
      <c r="I5" t="s">
        <v>26</v>
      </c>
      <c r="J5" s="3">
        <v>45155</v>
      </c>
      <c r="K5" t="s">
        <v>25</v>
      </c>
      <c r="L5" t="s">
        <v>33</v>
      </c>
      <c r="M5" t="s">
        <v>32</v>
      </c>
    </row>
    <row r="6" spans="1:13" x14ac:dyDescent="0.25">
      <c r="A6" t="s">
        <v>820</v>
      </c>
      <c r="B6" t="s">
        <v>1646</v>
      </c>
      <c r="C6" t="s">
        <v>819</v>
      </c>
      <c r="D6" t="str">
        <f>_xlfn.XLOOKUP(C6,Tabla1[APELLIDOS],Tabla1[NOMBRE],"",0)</f>
        <v>Óscar</v>
      </c>
      <c r="E6" t="s">
        <v>821</v>
      </c>
      <c r="F6" t="s">
        <v>1664</v>
      </c>
      <c r="G6" t="s">
        <v>1587</v>
      </c>
      <c r="H6" t="s">
        <v>1653</v>
      </c>
      <c r="I6" t="s">
        <v>26</v>
      </c>
      <c r="J6" s="3">
        <v>45541</v>
      </c>
      <c r="K6" t="s">
        <v>25</v>
      </c>
      <c r="L6" t="s">
        <v>33</v>
      </c>
      <c r="M6" t="s">
        <v>32</v>
      </c>
    </row>
    <row r="7" spans="1:13" x14ac:dyDescent="0.25">
      <c r="A7" t="s">
        <v>882</v>
      </c>
      <c r="B7" t="s">
        <v>1646</v>
      </c>
      <c r="C7" t="s">
        <v>881</v>
      </c>
      <c r="D7" t="s">
        <v>732</v>
      </c>
      <c r="E7" t="str">
        <f>_xlfn.CONCAT(Tabla2[[#This Row],[APELLIDOS_DIPUTADOS]],", ",Tabla2[[#This Row],[NOMBRE_DIPUTADO]])</f>
        <v>Mariscal Anaya, Guillermo</v>
      </c>
      <c r="F7" t="s">
        <v>1665</v>
      </c>
      <c r="G7" t="s">
        <v>1668</v>
      </c>
      <c r="H7" t="s">
        <v>1675</v>
      </c>
      <c r="I7" t="s">
        <v>26</v>
      </c>
      <c r="J7" s="3">
        <v>45155</v>
      </c>
      <c r="K7" t="s">
        <v>25</v>
      </c>
      <c r="L7" t="s">
        <v>24</v>
      </c>
      <c r="M7" t="s">
        <v>23</v>
      </c>
    </row>
    <row r="8" spans="1:13" x14ac:dyDescent="0.25">
      <c r="A8" t="s">
        <v>1001</v>
      </c>
      <c r="B8" t="s">
        <v>1647</v>
      </c>
      <c r="C8" t="s">
        <v>1000</v>
      </c>
      <c r="D8" t="str">
        <f>_xlfn.XLOOKUP(C8,Tabla1[APELLIDOS],Tabla1[NOMBRE],"",0)</f>
        <v>María Jesús</v>
      </c>
      <c r="E8" t="s">
        <v>1002</v>
      </c>
      <c r="F8" t="s">
        <v>1664</v>
      </c>
      <c r="G8" t="s">
        <v>1587</v>
      </c>
      <c r="H8" t="s">
        <v>1635</v>
      </c>
      <c r="I8" t="s">
        <v>35</v>
      </c>
      <c r="J8" s="3">
        <v>45289</v>
      </c>
      <c r="K8" s="3">
        <v>46108</v>
      </c>
      <c r="L8" t="s">
        <v>33</v>
      </c>
      <c r="M8" t="s">
        <v>32</v>
      </c>
    </row>
    <row r="9" spans="1:13" x14ac:dyDescent="0.25">
      <c r="A9" t="s">
        <v>1016</v>
      </c>
      <c r="B9" t="s">
        <v>1647</v>
      </c>
      <c r="C9" t="s">
        <v>1015</v>
      </c>
      <c r="D9" t="str">
        <f>_xlfn.XLOOKUP(C9,Tabla1[APELLIDOS],Tabla1[NOMBRE],"",0)</f>
        <v>Diana</v>
      </c>
      <c r="E9" t="s">
        <v>1017</v>
      </c>
      <c r="F9" t="s">
        <v>1664</v>
      </c>
      <c r="G9" t="s">
        <v>1587</v>
      </c>
      <c r="H9" t="s">
        <v>1657</v>
      </c>
      <c r="I9" t="s">
        <v>26</v>
      </c>
      <c r="J9" s="3">
        <v>45251</v>
      </c>
      <c r="K9" t="s">
        <v>25</v>
      </c>
      <c r="L9" t="s">
        <v>33</v>
      </c>
      <c r="M9" t="s">
        <v>32</v>
      </c>
    </row>
    <row r="10" spans="1:13" x14ac:dyDescent="0.25">
      <c r="A10" t="s">
        <v>1046</v>
      </c>
      <c r="B10" t="s">
        <v>1647</v>
      </c>
      <c r="C10" t="s">
        <v>1045</v>
      </c>
      <c r="D10" t="s">
        <v>154</v>
      </c>
      <c r="E10" t="str">
        <f>_xlfn.CONCAT(Tabla2[[#This Row],[APELLIDOS_DIPUTADOS]],", ",Tabla2[[#This Row],[NOMBRE_DIPUTADO]])</f>
        <v>Navarro Lacoba, Carmen</v>
      </c>
      <c r="F10" t="s">
        <v>1665</v>
      </c>
      <c r="G10" t="s">
        <v>1668</v>
      </c>
      <c r="H10" t="s">
        <v>1676</v>
      </c>
      <c r="I10" t="s">
        <v>26</v>
      </c>
      <c r="J10" s="3">
        <v>45155</v>
      </c>
      <c r="K10" t="s">
        <v>25</v>
      </c>
      <c r="L10" t="s">
        <v>24</v>
      </c>
      <c r="M10" t="s">
        <v>23</v>
      </c>
    </row>
    <row r="11" spans="1:13" x14ac:dyDescent="0.25">
      <c r="A11" t="s">
        <v>192</v>
      </c>
      <c r="B11" t="s">
        <v>1647</v>
      </c>
      <c r="C11" t="s">
        <v>191</v>
      </c>
      <c r="D11" t="s">
        <v>190</v>
      </c>
      <c r="E11" t="str">
        <f>_xlfn.CONCAT(Tabla2[[#This Row],[APELLIDOS_DIPUTADOS]],", ",Tabla2[[#This Row],[NOMBRE_DIPUTADO]])</f>
        <v>Armengol Socias, Francina</v>
      </c>
      <c r="F11" t="s">
        <v>1665</v>
      </c>
      <c r="G11" t="s">
        <v>1596</v>
      </c>
      <c r="H11" t="s">
        <v>1666</v>
      </c>
      <c r="I11" t="s">
        <v>26</v>
      </c>
      <c r="J11" s="3">
        <v>45155</v>
      </c>
      <c r="K11" t="s">
        <v>25</v>
      </c>
      <c r="L11" t="s">
        <v>33</v>
      </c>
      <c r="M11" t="s">
        <v>32</v>
      </c>
    </row>
    <row r="12" spans="1:13" x14ac:dyDescent="0.25">
      <c r="A12" t="s">
        <v>1151</v>
      </c>
      <c r="B12" t="s">
        <v>1646</v>
      </c>
      <c r="C12" t="s">
        <v>1150</v>
      </c>
      <c r="D12" t="s">
        <v>1149</v>
      </c>
      <c r="E12" t="str">
        <f>_xlfn.CONCAT(Tabla2[[#This Row],[APELLIDOS_DIPUTADOS]],", ",Tabla2[[#This Row],[NOMBRE_DIPUTADO]])</f>
        <v>Pisarello Prados, Gerardo</v>
      </c>
      <c r="F12" t="s">
        <v>1665</v>
      </c>
      <c r="G12" t="s">
        <v>1668</v>
      </c>
      <c r="H12" t="s">
        <v>1673</v>
      </c>
      <c r="I12" t="s">
        <v>26</v>
      </c>
      <c r="J12" s="3">
        <v>45155</v>
      </c>
      <c r="K12" t="s">
        <v>25</v>
      </c>
      <c r="L12" t="s">
        <v>124</v>
      </c>
      <c r="M12" t="s">
        <v>125</v>
      </c>
    </row>
    <row r="13" spans="1:13" x14ac:dyDescent="0.25">
      <c r="A13" t="s">
        <v>1155</v>
      </c>
      <c r="B13" t="s">
        <v>1646</v>
      </c>
      <c r="C13" t="s">
        <v>1154</v>
      </c>
      <c r="D13" t="str">
        <f>_xlfn.XLOOKUP(C13,Tabla1[APELLIDOS],Tabla1[NOMBRE],"",0)</f>
        <v>Luis</v>
      </c>
      <c r="E13" t="s">
        <v>1156</v>
      </c>
      <c r="F13" t="s">
        <v>1664</v>
      </c>
      <c r="G13" t="s">
        <v>1587</v>
      </c>
      <c r="H13" t="s">
        <v>1644</v>
      </c>
      <c r="I13" t="s">
        <v>26</v>
      </c>
      <c r="J13" s="3">
        <v>45251</v>
      </c>
      <c r="K13" t="s">
        <v>25</v>
      </c>
      <c r="L13" t="s">
        <v>33</v>
      </c>
      <c r="M13" t="s">
        <v>32</v>
      </c>
    </row>
    <row r="14" spans="1:13" x14ac:dyDescent="0.25">
      <c r="A14" t="s">
        <v>1176</v>
      </c>
      <c r="B14" t="s">
        <v>1646</v>
      </c>
      <c r="C14" t="s">
        <v>1175</v>
      </c>
      <c r="D14" t="str">
        <f>_xlfn.XLOOKUP(C14,Tabla1[APELLIDOS],Tabla1[NOMBRE],"",0)</f>
        <v>Óscar</v>
      </c>
      <c r="E14" t="s">
        <v>1177</v>
      </c>
      <c r="F14" t="s">
        <v>1664</v>
      </c>
      <c r="G14" t="s">
        <v>1587</v>
      </c>
      <c r="H14" t="s">
        <v>1640</v>
      </c>
      <c r="I14" t="s">
        <v>26</v>
      </c>
      <c r="J14" s="3">
        <v>45251</v>
      </c>
      <c r="K14" t="s">
        <v>25</v>
      </c>
      <c r="L14" t="s">
        <v>33</v>
      </c>
      <c r="M14" t="s">
        <v>32</v>
      </c>
    </row>
    <row r="15" spans="1:13" x14ac:dyDescent="0.25">
      <c r="A15" t="s">
        <v>1258</v>
      </c>
      <c r="B15" t="s">
        <v>1647</v>
      </c>
      <c r="C15" t="s">
        <v>1257</v>
      </c>
      <c r="D15" t="str">
        <f>_xlfn.XLOOKUP(C15,Tabla1[APELLIDOS],Tabla1[NOMBRE],"",0)</f>
        <v>Teresa</v>
      </c>
      <c r="E15" t="s">
        <v>1259</v>
      </c>
      <c r="F15" t="s">
        <v>1664</v>
      </c>
      <c r="G15" t="s">
        <v>1587</v>
      </c>
      <c r="H15" t="s">
        <v>1658</v>
      </c>
      <c r="I15" t="s">
        <v>35</v>
      </c>
      <c r="J15" s="3">
        <v>45251</v>
      </c>
      <c r="K15" s="3">
        <v>45621</v>
      </c>
      <c r="L15" t="s">
        <v>33</v>
      </c>
      <c r="M15" t="s">
        <v>32</v>
      </c>
    </row>
    <row r="16" spans="1:13" x14ac:dyDescent="0.25">
      <c r="A16" t="s">
        <v>1273</v>
      </c>
      <c r="B16" t="s">
        <v>1647</v>
      </c>
      <c r="C16" t="s">
        <v>1272</v>
      </c>
      <c r="D16" t="str">
        <f>_xlfn.XLOOKUP(C16,Tabla1[APELLIDOS],Tabla1[NOMBRE],"",0)</f>
        <v>Margarita</v>
      </c>
      <c r="E16" t="s">
        <v>1274</v>
      </c>
      <c r="F16" t="s">
        <v>1664</v>
      </c>
      <c r="G16" t="s">
        <v>1587</v>
      </c>
      <c r="H16" t="s">
        <v>1638</v>
      </c>
      <c r="I16" t="s">
        <v>26</v>
      </c>
      <c r="J16" s="3">
        <v>45251</v>
      </c>
      <c r="K16" t="s">
        <v>25</v>
      </c>
      <c r="L16" t="s">
        <v>33</v>
      </c>
      <c r="M16" t="s">
        <v>32</v>
      </c>
    </row>
    <row r="17" spans="1:13" x14ac:dyDescent="0.25">
      <c r="A17" t="s">
        <v>1290</v>
      </c>
      <c r="B17" t="s">
        <v>1647</v>
      </c>
      <c r="C17" t="s">
        <v>1289</v>
      </c>
      <c r="D17" t="s">
        <v>759</v>
      </c>
      <c r="E17" t="s">
        <v>1291</v>
      </c>
      <c r="F17" t="s">
        <v>1664</v>
      </c>
      <c r="G17" t="s">
        <v>1587</v>
      </c>
      <c r="H17" t="s">
        <v>1649</v>
      </c>
      <c r="I17" t="s">
        <v>26</v>
      </c>
      <c r="J17" s="3">
        <v>45251</v>
      </c>
      <c r="K17" t="s">
        <v>25</v>
      </c>
      <c r="L17" t="s">
        <v>33</v>
      </c>
      <c r="M17" t="s">
        <v>32</v>
      </c>
    </row>
    <row r="18" spans="1:13" x14ac:dyDescent="0.25">
      <c r="A18" t="s">
        <v>1294</v>
      </c>
      <c r="B18" t="s">
        <v>1646</v>
      </c>
      <c r="C18" t="s">
        <v>1293</v>
      </c>
      <c r="D18" t="s">
        <v>1292</v>
      </c>
      <c r="E18" t="str">
        <f>_xlfn.CONCAT(Tabla2[[#This Row],[APELLIDOS_DIPUTADOS]],", ",Tabla2[[#This Row],[NOMBRE_DIPUTADO]])</f>
        <v>Rodríguez Gómez de Celis, Alfonso</v>
      </c>
      <c r="F18" t="s">
        <v>1665</v>
      </c>
      <c r="G18" t="s">
        <v>1667</v>
      </c>
      <c r="H18" t="s">
        <v>1669</v>
      </c>
      <c r="I18" t="s">
        <v>26</v>
      </c>
      <c r="J18" s="3">
        <v>45155</v>
      </c>
      <c r="K18" t="s">
        <v>25</v>
      </c>
      <c r="L18" t="s">
        <v>33</v>
      </c>
      <c r="M18" t="s">
        <v>32</v>
      </c>
    </row>
    <row r="19" spans="1:13" x14ac:dyDescent="0.25">
      <c r="A19" t="s">
        <v>1404</v>
      </c>
      <c r="B19" t="s">
        <v>1646</v>
      </c>
      <c r="C19" t="s">
        <v>1403</v>
      </c>
      <c r="D19" t="str">
        <f>_xlfn.XLOOKUP(C19,Tabla1[APELLIDOS],Tabla1[NOMBRE],"",0)</f>
        <v>Pedro</v>
      </c>
      <c r="E19" t="s">
        <v>1405</v>
      </c>
      <c r="F19" t="s">
        <v>1664</v>
      </c>
      <c r="G19" t="s">
        <v>1596</v>
      </c>
      <c r="H19" t="s">
        <v>1586</v>
      </c>
      <c r="I19" t="s">
        <v>26</v>
      </c>
      <c r="J19" s="3">
        <v>45247</v>
      </c>
      <c r="K19" t="s">
        <v>25</v>
      </c>
      <c r="L19" t="s">
        <v>33</v>
      </c>
      <c r="M19" t="s">
        <v>32</v>
      </c>
    </row>
    <row r="20" spans="1:13" x14ac:dyDescent="0.25">
      <c r="A20" t="s">
        <v>1497</v>
      </c>
      <c r="B20" t="s">
        <v>1647</v>
      </c>
      <c r="C20" t="s">
        <v>1496</v>
      </c>
      <c r="D20" t="str">
        <f>_xlfn.XLOOKUP(C20,Tabla1[APELLIDOS],Tabla1[NOMBRE],"",0)</f>
        <v>Milagros</v>
      </c>
      <c r="E20" t="s">
        <v>1498</v>
      </c>
      <c r="F20" t="s">
        <v>1664</v>
      </c>
      <c r="G20" t="s">
        <v>1587</v>
      </c>
      <c r="H20" t="s">
        <v>1641</v>
      </c>
      <c r="I20" t="s">
        <v>26</v>
      </c>
      <c r="J20" s="3">
        <v>46013</v>
      </c>
      <c r="K20" t="s">
        <v>25</v>
      </c>
      <c r="L20" t="s">
        <v>33</v>
      </c>
      <c r="M20" t="s">
        <v>32</v>
      </c>
    </row>
    <row r="21" spans="1:13" x14ac:dyDescent="0.25">
      <c r="A21" t="s">
        <v>262</v>
      </c>
      <c r="B21" t="s">
        <v>1646</v>
      </c>
      <c r="C21" t="s">
        <v>261</v>
      </c>
      <c r="D21" t="s">
        <v>260</v>
      </c>
      <c r="E21" t="str">
        <f>_xlfn.CONCAT(Tabla2[[#This Row],[APELLIDOS_DIPUTADOS]],", ",Tabla2[[#This Row],[NOMBRE_DIPUTADO]])</f>
        <v>Bermúdez de Castro Fernández, José Antonio</v>
      </c>
      <c r="F21" t="s">
        <v>1665</v>
      </c>
      <c r="G21" t="s">
        <v>1667</v>
      </c>
      <c r="H21" t="s">
        <v>1670</v>
      </c>
      <c r="I21" t="s">
        <v>26</v>
      </c>
      <c r="J21" s="3">
        <v>45155</v>
      </c>
      <c r="K21" t="s">
        <v>25</v>
      </c>
      <c r="L21" t="s">
        <v>24</v>
      </c>
      <c r="M21" t="s">
        <v>23</v>
      </c>
    </row>
    <row r="22" spans="1:13" x14ac:dyDescent="0.25">
      <c r="A22" t="s">
        <v>279</v>
      </c>
      <c r="B22" t="s">
        <v>1646</v>
      </c>
      <c r="C22" t="s">
        <v>278</v>
      </c>
      <c r="D22" t="str">
        <f>_xlfn.XLOOKUP(C22,Tabla1[APELLIDOS],Tabla1[NOMBRE],"",0)</f>
        <v>Félix</v>
      </c>
      <c r="E22" t="s">
        <v>280</v>
      </c>
      <c r="F22" t="s">
        <v>1664</v>
      </c>
      <c r="G22" t="s">
        <v>1587</v>
      </c>
      <c r="H22" t="s">
        <v>1637</v>
      </c>
      <c r="I22" t="s">
        <v>26</v>
      </c>
      <c r="J22" s="3">
        <v>45251</v>
      </c>
      <c r="K22" t="s">
        <v>25</v>
      </c>
      <c r="L22" t="s">
        <v>33</v>
      </c>
      <c r="M22" t="s">
        <v>32</v>
      </c>
    </row>
    <row r="23" spans="1:13" x14ac:dyDescent="0.25">
      <c r="A23" t="s">
        <v>84</v>
      </c>
      <c r="B23" t="s">
        <v>1646</v>
      </c>
      <c r="C23" t="s">
        <v>83</v>
      </c>
      <c r="D23" t="str">
        <f>_xlfn.XLOOKUP(C23,Tabla1[APELLIDOS],Tabla1[NOMBRE],"",0)</f>
        <v>José Manuel</v>
      </c>
      <c r="E23" t="s">
        <v>85</v>
      </c>
      <c r="F23" t="s">
        <v>1664</v>
      </c>
      <c r="G23" t="s">
        <v>1587</v>
      </c>
      <c r="H23" t="s">
        <v>1636</v>
      </c>
      <c r="I23" t="s">
        <v>26</v>
      </c>
      <c r="J23" s="3">
        <v>45251</v>
      </c>
      <c r="K23" t="s">
        <v>25</v>
      </c>
      <c r="L23" t="s">
        <v>33</v>
      </c>
      <c r="M23" t="s">
        <v>32</v>
      </c>
    </row>
    <row r="24" spans="1:13" x14ac:dyDescent="0.25">
      <c r="A24" t="s">
        <v>93</v>
      </c>
      <c r="B24" t="s">
        <v>1647</v>
      </c>
      <c r="C24" t="s">
        <v>92</v>
      </c>
      <c r="D24" t="str">
        <f>_xlfn.XLOOKUP(C24,Tabla1[APELLIDOS],Tabla1[NOMBRE],"",0)</f>
        <v>María Pilar</v>
      </c>
      <c r="E24" t="s">
        <v>94</v>
      </c>
      <c r="F24" t="s">
        <v>1664</v>
      </c>
      <c r="G24" t="s">
        <v>1587</v>
      </c>
      <c r="H24" t="s">
        <v>1641</v>
      </c>
      <c r="I24" t="s">
        <v>35</v>
      </c>
      <c r="J24" s="3">
        <v>45251</v>
      </c>
      <c r="K24" s="3">
        <v>46013</v>
      </c>
      <c r="L24" t="s">
        <v>33</v>
      </c>
      <c r="M24" t="s">
        <v>32</v>
      </c>
    </row>
    <row r="25" spans="1:13" x14ac:dyDescent="0.25">
      <c r="A25" t="s">
        <v>490</v>
      </c>
      <c r="B25" t="s">
        <v>1647</v>
      </c>
      <c r="C25" t="s">
        <v>489</v>
      </c>
      <c r="D25" t="str">
        <f>_xlfn.XLOOKUP(C25,Tabla1[APELLIDOS],Tabla1[NOMBRE],"",0)</f>
        <v>Yolanda</v>
      </c>
      <c r="E25" t="s">
        <v>491</v>
      </c>
      <c r="F25" t="s">
        <v>1664</v>
      </c>
      <c r="G25" t="s">
        <v>1587</v>
      </c>
      <c r="H25" t="s">
        <v>1642</v>
      </c>
      <c r="I25" t="s">
        <v>26</v>
      </c>
      <c r="J25" s="3">
        <v>45251</v>
      </c>
      <c r="K25" t="s">
        <v>25</v>
      </c>
      <c r="L25" t="s">
        <v>124</v>
      </c>
      <c r="M25" t="s">
        <v>125</v>
      </c>
    </row>
    <row r="26" spans="1:13" x14ac:dyDescent="0.25">
      <c r="A26" t="s">
        <v>1677</v>
      </c>
      <c r="B26" t="s">
        <v>1647</v>
      </c>
      <c r="C26" t="s">
        <v>1600</v>
      </c>
      <c r="D26" t="s">
        <v>1616</v>
      </c>
      <c r="E26" t="s">
        <v>1622</v>
      </c>
      <c r="F26" t="s">
        <v>1664</v>
      </c>
      <c r="G26" t="s">
        <v>1587</v>
      </c>
      <c r="H26" t="s">
        <v>1598</v>
      </c>
      <c r="I26" t="s">
        <v>35</v>
      </c>
      <c r="J26" s="3">
        <v>45251</v>
      </c>
      <c r="K26" s="3">
        <v>45289</v>
      </c>
      <c r="L26" t="s">
        <v>1662</v>
      </c>
      <c r="M26" t="s">
        <v>1662</v>
      </c>
    </row>
    <row r="27" spans="1:13" x14ac:dyDescent="0.25">
      <c r="A27" t="s">
        <v>1678</v>
      </c>
      <c r="B27" t="s">
        <v>1646</v>
      </c>
      <c r="C27" t="s">
        <v>1601</v>
      </c>
      <c r="D27" t="s">
        <v>167</v>
      </c>
      <c r="E27" t="s">
        <v>1623</v>
      </c>
      <c r="F27" t="s">
        <v>1664</v>
      </c>
      <c r="G27" t="s">
        <v>1587</v>
      </c>
      <c r="H27" t="s">
        <v>1598</v>
      </c>
      <c r="I27" t="s">
        <v>26</v>
      </c>
      <c r="J27" s="3">
        <v>45289</v>
      </c>
      <c r="K27" t="s">
        <v>25</v>
      </c>
      <c r="L27" t="s">
        <v>1662</v>
      </c>
      <c r="M27" t="s">
        <v>1662</v>
      </c>
    </row>
    <row r="28" spans="1:13" x14ac:dyDescent="0.25">
      <c r="A28" t="s">
        <v>1679</v>
      </c>
      <c r="B28" t="s">
        <v>1647</v>
      </c>
      <c r="C28" t="s">
        <v>1602</v>
      </c>
      <c r="D28" t="s">
        <v>1615</v>
      </c>
      <c r="E28" t="s">
        <v>1624</v>
      </c>
      <c r="F28" t="s">
        <v>1664</v>
      </c>
      <c r="G28" t="s">
        <v>1587</v>
      </c>
      <c r="H28" t="s">
        <v>1658</v>
      </c>
      <c r="I28" t="s">
        <v>26</v>
      </c>
      <c r="J28" s="3">
        <v>45621</v>
      </c>
      <c r="K28" t="s">
        <v>25</v>
      </c>
      <c r="L28" t="s">
        <v>1662</v>
      </c>
      <c r="M28" t="s">
        <v>1662</v>
      </c>
    </row>
    <row r="29" spans="1:13" x14ac:dyDescent="0.25">
      <c r="A29" t="s">
        <v>1680</v>
      </c>
      <c r="B29" t="s">
        <v>1646</v>
      </c>
      <c r="C29" t="s">
        <v>1603</v>
      </c>
      <c r="D29" t="s">
        <v>1614</v>
      </c>
      <c r="E29" t="s">
        <v>1625</v>
      </c>
      <c r="F29" t="s">
        <v>1664</v>
      </c>
      <c r="G29" t="s">
        <v>1587</v>
      </c>
      <c r="H29" t="s">
        <v>1635</v>
      </c>
      <c r="I29" t="s">
        <v>26</v>
      </c>
      <c r="J29" s="3">
        <v>45251</v>
      </c>
      <c r="K29" t="s">
        <v>25</v>
      </c>
      <c r="L29" t="s">
        <v>1662</v>
      </c>
      <c r="M29" t="s">
        <v>1662</v>
      </c>
    </row>
    <row r="30" spans="1:13" x14ac:dyDescent="0.25">
      <c r="A30" t="s">
        <v>1681</v>
      </c>
      <c r="B30" t="s">
        <v>1646</v>
      </c>
      <c r="C30" t="s">
        <v>1604</v>
      </c>
      <c r="D30" t="s">
        <v>1382</v>
      </c>
      <c r="E30" t="s">
        <v>1626</v>
      </c>
      <c r="F30" t="s">
        <v>1664</v>
      </c>
      <c r="G30" t="s">
        <v>1587</v>
      </c>
      <c r="H30" t="s">
        <v>1643</v>
      </c>
      <c r="I30" t="s">
        <v>26</v>
      </c>
      <c r="J30" s="3">
        <v>45251</v>
      </c>
      <c r="K30" t="s">
        <v>25</v>
      </c>
      <c r="L30" t="s">
        <v>33</v>
      </c>
      <c r="M30" t="s">
        <v>32</v>
      </c>
    </row>
    <row r="31" spans="1:13" x14ac:dyDescent="0.25">
      <c r="A31" t="s">
        <v>1682</v>
      </c>
      <c r="B31" t="s">
        <v>1647</v>
      </c>
      <c r="C31" t="s">
        <v>1605</v>
      </c>
      <c r="D31" t="s">
        <v>1618</v>
      </c>
      <c r="E31" t="s">
        <v>1627</v>
      </c>
      <c r="F31" t="s">
        <v>1664</v>
      </c>
      <c r="G31" t="s">
        <v>1587</v>
      </c>
      <c r="H31" t="s">
        <v>1648</v>
      </c>
      <c r="I31" t="s">
        <v>26</v>
      </c>
      <c r="J31" s="3">
        <v>45251</v>
      </c>
      <c r="K31" t="s">
        <v>25</v>
      </c>
      <c r="L31" t="s">
        <v>1661</v>
      </c>
      <c r="M31" t="s">
        <v>125</v>
      </c>
    </row>
    <row r="32" spans="1:13" x14ac:dyDescent="0.25">
      <c r="A32" t="s">
        <v>1683</v>
      </c>
      <c r="B32" t="s">
        <v>1646</v>
      </c>
      <c r="C32" t="s">
        <v>1606</v>
      </c>
      <c r="D32" t="s">
        <v>1620</v>
      </c>
      <c r="E32" t="s">
        <v>1628</v>
      </c>
      <c r="F32" t="s">
        <v>1664</v>
      </c>
      <c r="G32" t="s">
        <v>1587</v>
      </c>
      <c r="H32" t="s">
        <v>1651</v>
      </c>
      <c r="I32" t="s">
        <v>26</v>
      </c>
      <c r="J32" s="3">
        <v>45251</v>
      </c>
      <c r="K32" t="s">
        <v>25</v>
      </c>
      <c r="L32" t="s">
        <v>1660</v>
      </c>
      <c r="M32" t="s">
        <v>125</v>
      </c>
    </row>
    <row r="33" spans="1:13" x14ac:dyDescent="0.25">
      <c r="A33" t="s">
        <v>1684</v>
      </c>
      <c r="B33" t="s">
        <v>1646</v>
      </c>
      <c r="C33" t="s">
        <v>1607</v>
      </c>
      <c r="D33" t="s">
        <v>1619</v>
      </c>
      <c r="E33" t="s">
        <v>1629</v>
      </c>
      <c r="F33" t="s">
        <v>1664</v>
      </c>
      <c r="G33" t="s">
        <v>1587</v>
      </c>
      <c r="H33" t="s">
        <v>1650</v>
      </c>
      <c r="I33" t="s">
        <v>26</v>
      </c>
      <c r="J33" s="3">
        <v>45251</v>
      </c>
      <c r="K33" t="s">
        <v>25</v>
      </c>
      <c r="L33" t="s">
        <v>33</v>
      </c>
      <c r="M33" t="s">
        <v>32</v>
      </c>
    </row>
    <row r="34" spans="1:13" x14ac:dyDescent="0.25">
      <c r="A34" t="s">
        <v>1685</v>
      </c>
      <c r="B34" t="s">
        <v>1646</v>
      </c>
      <c r="C34" t="s">
        <v>1608</v>
      </c>
      <c r="D34" t="s">
        <v>162</v>
      </c>
      <c r="E34" t="s">
        <v>1630</v>
      </c>
      <c r="F34" t="s">
        <v>1664</v>
      </c>
      <c r="G34" t="s">
        <v>1587</v>
      </c>
      <c r="H34" t="s">
        <v>1656</v>
      </c>
      <c r="I34" t="s">
        <v>26</v>
      </c>
      <c r="J34" s="3">
        <v>45251</v>
      </c>
      <c r="K34" t="s">
        <v>25</v>
      </c>
      <c r="L34" t="s">
        <v>124</v>
      </c>
      <c r="M34" t="s">
        <v>125</v>
      </c>
    </row>
    <row r="35" spans="1:13" x14ac:dyDescent="0.25">
      <c r="A35" t="s">
        <v>1686</v>
      </c>
      <c r="B35" t="s">
        <v>1647</v>
      </c>
      <c r="C35" t="s">
        <v>1609</v>
      </c>
      <c r="D35" t="s">
        <v>382</v>
      </c>
      <c r="E35" t="s">
        <v>1631</v>
      </c>
      <c r="F35" t="s">
        <v>1664</v>
      </c>
      <c r="G35" t="s">
        <v>1587</v>
      </c>
      <c r="H35" t="s">
        <v>1655</v>
      </c>
      <c r="I35" t="s">
        <v>26</v>
      </c>
      <c r="J35" s="3">
        <v>45251</v>
      </c>
      <c r="K35" t="s">
        <v>25</v>
      </c>
      <c r="L35" t="s">
        <v>33</v>
      </c>
      <c r="M35" t="s">
        <v>32</v>
      </c>
    </row>
    <row r="36" spans="1:13" x14ac:dyDescent="0.25">
      <c r="A36" t="s">
        <v>1687</v>
      </c>
      <c r="B36" t="s">
        <v>1647</v>
      </c>
      <c r="C36" t="s">
        <v>1610</v>
      </c>
      <c r="D36" t="s">
        <v>1617</v>
      </c>
      <c r="E36" t="s">
        <v>1632</v>
      </c>
      <c r="F36" t="s">
        <v>1664</v>
      </c>
      <c r="G36" t="s">
        <v>1587</v>
      </c>
      <c r="H36" t="s">
        <v>1654</v>
      </c>
      <c r="I36" t="s">
        <v>26</v>
      </c>
      <c r="J36" s="3">
        <v>45251</v>
      </c>
      <c r="K36" t="s">
        <v>25</v>
      </c>
      <c r="L36" t="s">
        <v>1662</v>
      </c>
      <c r="M36" t="s">
        <v>1662</v>
      </c>
    </row>
    <row r="37" spans="1:13" x14ac:dyDescent="0.25">
      <c r="A37" t="s">
        <v>1688</v>
      </c>
      <c r="B37" t="s">
        <v>1646</v>
      </c>
      <c r="C37" t="s">
        <v>1611</v>
      </c>
      <c r="D37" t="s">
        <v>27</v>
      </c>
      <c r="E37" t="s">
        <v>1633</v>
      </c>
      <c r="F37" t="s">
        <v>1664</v>
      </c>
      <c r="G37" t="s">
        <v>1587</v>
      </c>
      <c r="H37" t="s">
        <v>1653</v>
      </c>
      <c r="I37" t="s">
        <v>35</v>
      </c>
      <c r="J37" s="3">
        <v>45251</v>
      </c>
      <c r="K37" s="3">
        <v>45541</v>
      </c>
      <c r="L37" t="s">
        <v>1662</v>
      </c>
      <c r="M37" t="s">
        <v>1662</v>
      </c>
    </row>
    <row r="38" spans="1:13" x14ac:dyDescent="0.25">
      <c r="A38" t="s">
        <v>1689</v>
      </c>
      <c r="B38" t="s">
        <v>1647</v>
      </c>
      <c r="C38" t="s">
        <v>1612</v>
      </c>
      <c r="D38" t="s">
        <v>1621</v>
      </c>
      <c r="E38" t="s">
        <v>1634</v>
      </c>
      <c r="F38" t="s">
        <v>1664</v>
      </c>
      <c r="G38" t="s">
        <v>1587</v>
      </c>
      <c r="H38" t="s">
        <v>1652</v>
      </c>
      <c r="I38" t="s">
        <v>26</v>
      </c>
      <c r="J38" s="3">
        <v>45251</v>
      </c>
      <c r="K38" t="s">
        <v>25</v>
      </c>
      <c r="L38" t="s">
        <v>1659</v>
      </c>
      <c r="M38" t="s">
        <v>125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DIPUTADOS_FINAL</vt:lpstr>
      <vt:lpstr>Hoja2</vt:lpstr>
      <vt:lpstr>Hoja3</vt:lpstr>
      <vt:lpstr>ALTOS CARGOS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Vinicio Ayala Sierra</cp:lastModifiedBy>
  <dcterms:created xsi:type="dcterms:W3CDTF">2026-05-07T18:28:17Z</dcterms:created>
  <dcterms:modified xsi:type="dcterms:W3CDTF">2026-05-17T20:22:03Z</dcterms:modified>
</cp:coreProperties>
</file>